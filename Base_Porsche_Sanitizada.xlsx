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ussa\Documents\JUSSARA\"/>
    </mc:Choice>
  </mc:AlternateContent>
  <xr:revisionPtr revIDLastSave="0" documentId="13_ncr:1_{D02292D5-BA85-462D-9789-F7A93C996E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b_Porsch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</calcChain>
</file>

<file path=xl/sharedStrings.xml><?xml version="1.0" encoding="utf-8"?>
<sst xmlns="http://schemas.openxmlformats.org/spreadsheetml/2006/main" count="812" uniqueCount="425">
  <si>
    <t>sale_id</t>
  </si>
  <si>
    <t>SaleDateSanitized</t>
  </si>
  <si>
    <t>customer_name</t>
  </si>
  <si>
    <t>PorscheModelSanitized</t>
  </si>
  <si>
    <t>ModelYearSanitized</t>
  </si>
  <si>
    <t>SalesPriceSanitized</t>
  </si>
  <si>
    <t>VehicleMileageSanitized</t>
  </si>
  <si>
    <t>PayMethodSanitized</t>
  </si>
  <si>
    <t>CitySanitized</t>
  </si>
  <si>
    <t>StateSanitized</t>
  </si>
  <si>
    <t>salesperson</t>
  </si>
  <si>
    <t>DeliveryStatusSanitized</t>
  </si>
  <si>
    <t>INVALID</t>
  </si>
  <si>
    <t>Michael Adams</t>
  </si>
  <si>
    <t>718 Cayman</t>
  </si>
  <si>
    <t>Credit Card</t>
  </si>
  <si>
    <t>Boston</t>
  </si>
  <si>
    <t>MA</t>
  </si>
  <si>
    <t>kevin</t>
  </si>
  <si>
    <t>Delivered</t>
  </si>
  <si>
    <t>2024-03-14</t>
  </si>
  <si>
    <t>SOPHIA Miller</t>
  </si>
  <si>
    <t>911 Turbo S</t>
  </si>
  <si>
    <t>Wire Transfer</t>
  </si>
  <si>
    <t>Seattle</t>
  </si>
  <si>
    <t>WA</t>
  </si>
  <si>
    <t>AMANDA scott</t>
  </si>
  <si>
    <t>2024-04-18</t>
  </si>
  <si>
    <t>Daniel-Jones</t>
  </si>
  <si>
    <t>Cayenne Coupe</t>
  </si>
  <si>
    <t>Financing</t>
  </si>
  <si>
    <t>Austin</t>
  </si>
  <si>
    <t>TX</t>
  </si>
  <si>
    <t>Brian Hall</t>
  </si>
  <si>
    <t>In Transit</t>
  </si>
  <si>
    <t>Olivia Brown</t>
  </si>
  <si>
    <t>Macan S</t>
  </si>
  <si>
    <t>Cash</t>
  </si>
  <si>
    <t>Denver</t>
  </si>
  <si>
    <t>CO</t>
  </si>
  <si>
    <t>jessica</t>
  </si>
  <si>
    <t>Pending</t>
  </si>
  <si>
    <t>2024-05-22</t>
  </si>
  <si>
    <t>Ethan Wilson</t>
  </si>
  <si>
    <t>Taycan 4S</t>
  </si>
  <si>
    <t>Bank Transfer</t>
  </si>
  <si>
    <t>Los Angeles</t>
  </si>
  <si>
    <t>CA</t>
  </si>
  <si>
    <t>Thomas King</t>
  </si>
  <si>
    <t>2024-08-06</t>
  </si>
  <si>
    <t>Ava Martinez</t>
  </si>
  <si>
    <t>Panamera 4</t>
  </si>
  <si>
    <t>Miami</t>
  </si>
  <si>
    <t>FL</t>
  </si>
  <si>
    <t>LISA ray</t>
  </si>
  <si>
    <t>Cancelled</t>
  </si>
  <si>
    <t>2024-07-11</t>
  </si>
  <si>
    <t>Noah Davis</t>
  </si>
  <si>
    <t>911 Carrera S</t>
  </si>
  <si>
    <t>Lease</t>
  </si>
  <si>
    <t>New York</t>
  </si>
  <si>
    <t>NY</t>
  </si>
  <si>
    <t>Mark Evans</t>
  </si>
  <si>
    <t>Isabella Garcia</t>
  </si>
  <si>
    <t>Cayenne E-Hybrid</t>
  </si>
  <si>
    <t>San Diego</t>
  </si>
  <si>
    <t>nancy reed</t>
  </si>
  <si>
    <t>Pending Approval</t>
  </si>
  <si>
    <t>2024-08-19</t>
  </si>
  <si>
    <t>Liam Rodriguez</t>
  </si>
  <si>
    <t>718 Boxster</t>
  </si>
  <si>
    <t>Debit Card</t>
  </si>
  <si>
    <t>Chicago</t>
  </si>
  <si>
    <t>IL</t>
  </si>
  <si>
    <t>George Bell</t>
  </si>
  <si>
    <t>Shipped</t>
  </si>
  <si>
    <t>2024-09-02</t>
  </si>
  <si>
    <t>Mia Hernandez</t>
  </si>
  <si>
    <t>Macan GTS</t>
  </si>
  <si>
    <t>Phoenix</t>
  </si>
  <si>
    <t>AZ</t>
  </si>
  <si>
    <t>Helen Brooks</t>
  </si>
  <si>
    <t>2024-09-17</t>
  </si>
  <si>
    <t>James Lopez</t>
  </si>
  <si>
    <t>Taycan Turbo</t>
  </si>
  <si>
    <t>ACH Payment</t>
  </si>
  <si>
    <t>Dallas</t>
  </si>
  <si>
    <t>samuel price</t>
  </si>
  <si>
    <t>Charlotte Young</t>
  </si>
  <si>
    <t>911 GT3</t>
  </si>
  <si>
    <t>Las Vegas</t>
  </si>
  <si>
    <t>NV</t>
  </si>
  <si>
    <t>PETER Ford</t>
  </si>
  <si>
    <t>2024-05-11</t>
  </si>
  <si>
    <t>Benjamin Allen</t>
  </si>
  <si>
    <t>Panamera Turbo S</t>
  </si>
  <si>
    <t>San Jose</t>
  </si>
  <si>
    <t>Angela Green</t>
  </si>
  <si>
    <t>2024-12-12</t>
  </si>
  <si>
    <t>Amelia King</t>
  </si>
  <si>
    <t>Cayenne Turbo GT</t>
  </si>
  <si>
    <t>Crypto Payment</t>
  </si>
  <si>
    <t>Houston</t>
  </si>
  <si>
    <t>Victor Stone</t>
  </si>
  <si>
    <t>Awaiting Delivery</t>
  </si>
  <si>
    <t>2024-12-25</t>
  </si>
  <si>
    <t>Lucas Wright</t>
  </si>
  <si>
    <t>911 Carrera Cabriolet</t>
  </si>
  <si>
    <t>Atlanta</t>
  </si>
  <si>
    <t>GA</t>
  </si>
  <si>
    <t>rachel turner</t>
  </si>
  <si>
    <t>2025-01-06</t>
  </si>
  <si>
    <t>Harper Scott</t>
  </si>
  <si>
    <t>Macan</t>
  </si>
  <si>
    <t>Orlando</t>
  </si>
  <si>
    <t>Chris Moore</t>
  </si>
  <si>
    <t>Henry Torres</t>
  </si>
  <si>
    <t>718 Spyder RS</t>
  </si>
  <si>
    <t>Portland</t>
  </si>
  <si>
    <t>OR</t>
  </si>
  <si>
    <t>LAURA Hill</t>
  </si>
  <si>
    <t>2025-02-14</t>
  </si>
  <si>
    <t>Evelyn Nguyen</t>
  </si>
  <si>
    <t>Taycan Cross Turismo</t>
  </si>
  <si>
    <t>Charlotte</t>
  </si>
  <si>
    <t>NC</t>
  </si>
  <si>
    <t>Martin Young</t>
  </si>
  <si>
    <t>Alexander Flores</t>
  </si>
  <si>
    <t>Cayenne S</t>
  </si>
  <si>
    <t>Nashville</t>
  </si>
  <si>
    <t>TN</t>
  </si>
  <si>
    <t>Diana Cooper</t>
  </si>
  <si>
    <t>2025-03-21</t>
  </si>
  <si>
    <t>Abigail Carter</t>
  </si>
  <si>
    <t>911 Targa 4S</t>
  </si>
  <si>
    <t>Minneapolis</t>
  </si>
  <si>
    <t>MN</t>
  </si>
  <si>
    <t>Steve Gray</t>
  </si>
  <si>
    <t>2025-03-28</t>
  </si>
  <si>
    <t>Jack Mitchell</t>
  </si>
  <si>
    <t>Panamera</t>
  </si>
  <si>
    <t>Philadelphia</t>
  </si>
  <si>
    <t>PA</t>
  </si>
  <si>
    <t>Olivia Ross</t>
  </si>
  <si>
    <t>2025-04-09</t>
  </si>
  <si>
    <t>Emily Perez</t>
  </si>
  <si>
    <t>Macan Electric</t>
  </si>
  <si>
    <t>San Antonio</t>
  </si>
  <si>
    <t>Patrick Wood</t>
  </si>
  <si>
    <t>William Roberts</t>
  </si>
  <si>
    <t>911 Dakar</t>
  </si>
  <si>
    <t>Salt Lake City</t>
  </si>
  <si>
    <t>UT</t>
  </si>
  <si>
    <t>Karen Diaz</t>
  </si>
  <si>
    <t>Awaiting Pickup</t>
  </si>
  <si>
    <t>2025-05-12</t>
  </si>
  <si>
    <t>Sofia Turner</t>
  </si>
  <si>
    <t>Taycan GTS</t>
  </si>
  <si>
    <t>Raleigh</t>
  </si>
  <si>
    <t>Justin Cox</t>
  </si>
  <si>
    <t>2025-06-18</t>
  </si>
  <si>
    <t>Mason Phillips</t>
  </si>
  <si>
    <t>Cayenne</t>
  </si>
  <si>
    <t>Detroit</t>
  </si>
  <si>
    <t>MI</t>
  </si>
  <si>
    <t>Betty Ward</t>
  </si>
  <si>
    <t>Ella Campbell</t>
  </si>
  <si>
    <t>718 Cayman GT4 RS</t>
  </si>
  <si>
    <t>Columbus</t>
  </si>
  <si>
    <t>OH</t>
  </si>
  <si>
    <t>Gary Reed</t>
  </si>
  <si>
    <t>2025-07-07</t>
  </si>
  <si>
    <t>Logan Parker</t>
  </si>
  <si>
    <t>911 Carrera GTS</t>
  </si>
  <si>
    <t>Indianapolis</t>
  </si>
  <si>
    <t>IN</t>
  </si>
  <si>
    <t>maria foster</t>
  </si>
  <si>
    <t>2025-07-22</t>
  </si>
  <si>
    <t>Grace Evans</t>
  </si>
  <si>
    <t>Panamera 4 E-Hybrid</t>
  </si>
  <si>
    <t>Fort Worth</t>
  </si>
  <si>
    <t>Harold Bennett</t>
  </si>
  <si>
    <t>2025-08-14</t>
  </si>
  <si>
    <t>Jacob Edwards</t>
  </si>
  <si>
    <t>Macan T</t>
  </si>
  <si>
    <t>Jacksonville</t>
  </si>
  <si>
    <t>Teresa Cook</t>
  </si>
  <si>
    <t>2025-09-01</t>
  </si>
  <si>
    <t>Victoria Collins</t>
  </si>
  <si>
    <t>Taycan Turbo S</t>
  </si>
  <si>
    <t>Frank Morgan</t>
  </si>
  <si>
    <t>Pending Review</t>
  </si>
  <si>
    <t>Andrew Simmons</t>
  </si>
  <si>
    <t>911 Carrera</t>
  </si>
  <si>
    <t>Tampa</t>
  </si>
  <si>
    <t>natalie</t>
  </si>
  <si>
    <t>2025-09-18</t>
  </si>
  <si>
    <t>Chloe Bennett</t>
  </si>
  <si>
    <t>Sacramento</t>
  </si>
  <si>
    <t>ERIC woods</t>
  </si>
  <si>
    <t>2025-10-04</t>
  </si>
  <si>
    <t>Ryan-Cooper</t>
  </si>
  <si>
    <t>Cleveland</t>
  </si>
  <si>
    <t>Patricia Fox</t>
  </si>
  <si>
    <t>2025-10-12</t>
  </si>
  <si>
    <t>Hannah Reed</t>
  </si>
  <si>
    <t>Taycan</t>
  </si>
  <si>
    <t>Milwaukee</t>
  </si>
  <si>
    <t>WI</t>
  </si>
  <si>
    <t>alan price</t>
  </si>
  <si>
    <t>2025-10-29</t>
  </si>
  <si>
    <t>Dylan Parker</t>
  </si>
  <si>
    <t>Panamera 4S</t>
  </si>
  <si>
    <t>Kansas City</t>
  </si>
  <si>
    <t>MO</t>
  </si>
  <si>
    <t>Sandra Hill</t>
  </si>
  <si>
    <t>2025-02-11</t>
  </si>
  <si>
    <t>Lily Coleman</t>
  </si>
  <si>
    <t>Omaha</t>
  </si>
  <si>
    <t>NE</t>
  </si>
  <si>
    <t>Victor Lee</t>
  </si>
  <si>
    <t>2025-11-16</t>
  </si>
  <si>
    <t>Nathan Hughes</t>
  </si>
  <si>
    <t>911 Turbo</t>
  </si>
  <si>
    <t>Albuquerque</t>
  </si>
  <si>
    <t>NM</t>
  </si>
  <si>
    <t>monica</t>
  </si>
  <si>
    <t>Zoe Foster</t>
  </si>
  <si>
    <t>Tucson</t>
  </si>
  <si>
    <t>Gregory Adams</t>
  </si>
  <si>
    <t>Caleb Ward</t>
  </si>
  <si>
    <t>Fresno</t>
  </si>
  <si>
    <t>Laura West</t>
  </si>
  <si>
    <t>2025-12-07</t>
  </si>
  <si>
    <t>Stella Brooks</t>
  </si>
  <si>
    <t>Virginia Beach</t>
  </si>
  <si>
    <t>VA</t>
  </si>
  <si>
    <t>Henry King</t>
  </si>
  <si>
    <t>2025-12-22</t>
  </si>
  <si>
    <t>Owen Bryant</t>
  </si>
  <si>
    <t>Panamera Turbo</t>
  </si>
  <si>
    <t>Colorado Springs</t>
  </si>
  <si>
    <t>amber clark</t>
  </si>
  <si>
    <t>Nora Simmons</t>
  </si>
  <si>
    <t>911 GT3 RS</t>
  </si>
  <si>
    <t>Arlington</t>
  </si>
  <si>
    <t>PETER Lane</t>
  </si>
  <si>
    <t>2026-01-08</t>
  </si>
  <si>
    <t>Isaac Butler</t>
  </si>
  <si>
    <t>Bakersfield</t>
  </si>
  <si>
    <t>Grace Morris</t>
  </si>
  <si>
    <t>2026-01-15</t>
  </si>
  <si>
    <t>Leah Henderson</t>
  </si>
  <si>
    <t>Mesa</t>
  </si>
  <si>
    <t>Kyle Perry</t>
  </si>
  <si>
    <t>2026-01-28</t>
  </si>
  <si>
    <t>Christian Bailey</t>
  </si>
  <si>
    <t>megan reed</t>
  </si>
  <si>
    <t>2026-02-03</t>
  </si>
  <si>
    <t>Audrey Russell</t>
  </si>
  <si>
    <t>Long Beach</t>
  </si>
  <si>
    <t>Carl Simmons</t>
  </si>
  <si>
    <t>Hunter Griffin</t>
  </si>
  <si>
    <t>911 Targa 4</t>
  </si>
  <si>
    <t>Oakland</t>
  </si>
  <si>
    <t>LINDA cole</t>
  </si>
  <si>
    <t>2026-02-19</t>
  </si>
  <si>
    <t>Scarlett Diaz</t>
  </si>
  <si>
    <t>Tulsa</t>
  </si>
  <si>
    <t>OK</t>
  </si>
  <si>
    <t>Martin Brooks</t>
  </si>
  <si>
    <t>2026-02-25</t>
  </si>
  <si>
    <t>Eli Jenkins</t>
  </si>
  <si>
    <t>Cayenne Turbo</t>
  </si>
  <si>
    <t>Wichita</t>
  </si>
  <si>
    <t>KS</t>
  </si>
  <si>
    <t>Diana Long</t>
  </si>
  <si>
    <t>2026-03-01</t>
  </si>
  <si>
    <t>Madison Powell</t>
  </si>
  <si>
    <t>New Orleans</t>
  </si>
  <si>
    <t>LA</t>
  </si>
  <si>
    <t>Steve Ross</t>
  </si>
  <si>
    <t>2026-03-14</t>
  </si>
  <si>
    <t>Adrian Sanders</t>
  </si>
  <si>
    <t>Honolulu</t>
  </si>
  <si>
    <t>HI</t>
  </si>
  <si>
    <t>Olivia Cruz</t>
  </si>
  <si>
    <t>Penelope Barnes</t>
  </si>
  <si>
    <t>Anaheim</t>
  </si>
  <si>
    <t>2026-04-08</t>
  </si>
  <si>
    <t>Nolan Fisher</t>
  </si>
  <si>
    <t>Henderson</t>
  </si>
  <si>
    <t>Karen Stone</t>
  </si>
  <si>
    <t>Awaiting Review</t>
  </si>
  <si>
    <t>Layla Marshall</t>
  </si>
  <si>
    <t>Lexington</t>
  </si>
  <si>
    <t>KY</t>
  </si>
  <si>
    <t>justin fox</t>
  </si>
  <si>
    <t>2026-04-21</t>
  </si>
  <si>
    <t>Gabriel Owens</t>
  </si>
  <si>
    <t>Riverside</t>
  </si>
  <si>
    <t>Betty James</t>
  </si>
  <si>
    <t>2026-04-29</t>
  </si>
  <si>
    <t>Victoria Hart</t>
  </si>
  <si>
    <t>Corpus Christi</t>
  </si>
  <si>
    <t>Gary Price</t>
  </si>
  <si>
    <t>2026-05-05</t>
  </si>
  <si>
    <t>Julian Stone</t>
  </si>
  <si>
    <t>St. Louis</t>
  </si>
  <si>
    <t>maria green</t>
  </si>
  <si>
    <t>2026-05-14</t>
  </si>
  <si>
    <t>Brooklyn Webb</t>
  </si>
  <si>
    <t>Pittsburgh</t>
  </si>
  <si>
    <t>Harold Young</t>
  </si>
  <si>
    <t>2026-05-23</t>
  </si>
  <si>
    <t>Aaron Kim</t>
  </si>
  <si>
    <t>Cincinnati</t>
  </si>
  <si>
    <t>Teresa Ward</t>
  </si>
  <si>
    <t>2026-06-02</t>
  </si>
  <si>
    <t>Claire Watson</t>
  </si>
  <si>
    <t>Anchorage</t>
  </si>
  <si>
    <t>AK</t>
  </si>
  <si>
    <t>Frank Reed</t>
  </si>
  <si>
    <t>2026-06-15</t>
  </si>
  <si>
    <t>Sebastian Brooks</t>
  </si>
  <si>
    <t>Plano</t>
  </si>
  <si>
    <t>Angela Moore</t>
  </si>
  <si>
    <t>Bella Ramirez</t>
  </si>
  <si>
    <t>Newark</t>
  </si>
  <si>
    <t>NJ</t>
  </si>
  <si>
    <t>rachel west</t>
  </si>
  <si>
    <t>2026-07-07</t>
  </si>
  <si>
    <t>Miles Peterson</t>
  </si>
  <si>
    <t>Greensboro</t>
  </si>
  <si>
    <t>Thomas Fox</t>
  </si>
  <si>
    <t>2026-07-20</t>
  </si>
  <si>
    <t>Skylar Rogers</t>
  </si>
  <si>
    <t>Lincoln</t>
  </si>
  <si>
    <t>LISA Dunn</t>
  </si>
  <si>
    <t>Dominic Kelly</t>
  </si>
  <si>
    <t>Jersey City</t>
  </si>
  <si>
    <t>Brian Allen</t>
  </si>
  <si>
    <t>Lucy Howard</t>
  </si>
  <si>
    <t>Chandler</t>
  </si>
  <si>
    <t>George Hall</t>
  </si>
  <si>
    <t>2026-08-18</t>
  </si>
  <si>
    <t>Everett Cox</t>
  </si>
  <si>
    <t>718 Boxster GTS</t>
  </si>
  <si>
    <t>Reno</t>
  </si>
  <si>
    <t>Helen King</t>
  </si>
  <si>
    <t>2026-08-31</t>
  </si>
  <si>
    <t>Maya Rivera</t>
  </si>
  <si>
    <t>Buffalo</t>
  </si>
  <si>
    <t>2026-09-09</t>
  </si>
  <si>
    <t>Connor Ward</t>
  </si>
  <si>
    <t>Durham</t>
  </si>
  <si>
    <t>Peter Ford</t>
  </si>
  <si>
    <t>2026-09-17</t>
  </si>
  <si>
    <t>Eliana Bell</t>
  </si>
  <si>
    <t>Laredo</t>
  </si>
  <si>
    <t>2026-09-28</t>
  </si>
  <si>
    <t>Cameron Murphy</t>
  </si>
  <si>
    <t>Madison</t>
  </si>
  <si>
    <t>2026-10-06</t>
  </si>
  <si>
    <t>Ariana Cook</t>
  </si>
  <si>
    <t>Lubbock</t>
  </si>
  <si>
    <t>Rachel Turner</t>
  </si>
  <si>
    <t>2026-10-16</t>
  </si>
  <si>
    <t>Wesley Morgan</t>
  </si>
  <si>
    <t>718 Cayman S</t>
  </si>
  <si>
    <t>Toledo</t>
  </si>
  <si>
    <t>2026-10-29</t>
  </si>
  <si>
    <t>Naomi Peterson</t>
  </si>
  <si>
    <t>Irvine</t>
  </si>
  <si>
    <t>2026-11-03</t>
  </si>
  <si>
    <t>Jason Perry</t>
  </si>
  <si>
    <t>Garland</t>
  </si>
  <si>
    <t>Riley Flores</t>
  </si>
  <si>
    <t>Irving</t>
  </si>
  <si>
    <t>2026-12-11</t>
  </si>
  <si>
    <t>Hazel Long</t>
  </si>
  <si>
    <t>Chesapeake</t>
  </si>
  <si>
    <t>2026-12-24</t>
  </si>
  <si>
    <t>Easton Bailey</t>
  </si>
  <si>
    <t>Scottsdale</t>
  </si>
  <si>
    <t>Aurora Cooper</t>
  </si>
  <si>
    <t>Norfolk</t>
  </si>
  <si>
    <t>2026-12-28</t>
  </si>
  <si>
    <t>Colton Richardson</t>
  </si>
  <si>
    <t>Boise</t>
  </si>
  <si>
    <t>ID</t>
  </si>
  <si>
    <t>2027-01-15</t>
  </si>
  <si>
    <t>Mason Stewart</t>
  </si>
  <si>
    <t>kevin brown</t>
  </si>
  <si>
    <t>2027-01-29</t>
  </si>
  <si>
    <t>Harper Reed</t>
  </si>
  <si>
    <t>AMANDA Lee</t>
  </si>
  <si>
    <t>2027-02-11</t>
  </si>
  <si>
    <t>Tyler-Morris</t>
  </si>
  <si>
    <t>Natalie Brooks</t>
  </si>
  <si>
    <t>jessica white</t>
  </si>
  <si>
    <t>2027-03-05</t>
  </si>
  <si>
    <t>Brandon Parker</t>
  </si>
  <si>
    <t>2027-03-18</t>
  </si>
  <si>
    <t>Lauren Foster</t>
  </si>
  <si>
    <t>2027-04-02</t>
  </si>
  <si>
    <t>Adam Hughes</t>
  </si>
  <si>
    <t>monica green</t>
  </si>
  <si>
    <t>Julia Coleman</t>
  </si>
  <si>
    <t>Caleb Simmons</t>
  </si>
  <si>
    <t>2027-05-12</t>
  </si>
  <si>
    <t>Ariana Price</t>
  </si>
  <si>
    <t>2027-05-27</t>
  </si>
  <si>
    <t>Owen Rivera</t>
  </si>
  <si>
    <t>San Francisco</t>
  </si>
  <si>
    <t>Nora Bennett</t>
  </si>
  <si>
    <t>2027-06-18</t>
  </si>
  <si>
    <t>Isaac Turner</t>
  </si>
  <si>
    <t>2027-07-03</t>
  </si>
  <si>
    <t>Leah Scott</t>
  </si>
  <si>
    <t>2027-07-22</t>
  </si>
  <si>
    <t>2027-08-08</t>
  </si>
  <si>
    <t>2027-09-19</t>
  </si>
  <si>
    <t>2027-09-25</t>
  </si>
  <si>
    <t>2027-10-01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</si>
</sst>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&quot;R$&quot;\ #,##0.00"/>
    <numFmt numFmtId="167" formatCode="yyyy\-mm\-dd;@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5" fontId="0" fillId="0" borderId="0" xfId="0" applyNumberFormat="1"/>
    <xf numFmtId="167" fontId="0" fillId="0" borderId="0" xfId="0" applyNumberFormat="1"/>
    <xf numFmtId="0" fontId="2" fillId="2" borderId="0" xfId="0" applyFont="1" applyFill="1"/>
    <xf numFmtId="167" fontId="2" fillId="2" borderId="0" xfId="0" applyNumberFormat="1" applyFont="1" applyFill="1"/>
    <xf numFmtId="165" fontId="2" fillId="2" borderId="0" xfId="0" applyNumberFormat="1" applyFont="1" applyFill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workbookViewId="0">
      <pane ySplit="1" topLeftCell="A2" activePane="bottomLeft" state="frozen"/>
      <selection pane="bottomLeft" activeCell="D21" sqref="D21"/>
    </sheetView>
  </sheetViews>
  <sheetFormatPr defaultRowHeight="14.4" x14ac:dyDescent="0.3"/>
  <cols>
    <col min="1" max="1" width="14" customWidth="1"/>
    <col min="2" max="3" width="19" style="2" customWidth="1"/>
    <col min="4" max="4" width="15" customWidth="1"/>
    <col min="5" max="5" width="23" customWidth="1"/>
    <col min="6" max="6" width="20" customWidth="1"/>
    <col min="7" max="7" width="21" style="1" customWidth="1"/>
    <col min="8" max="8" width="25" customWidth="1"/>
    <col min="9" max="9" width="20" customWidth="1"/>
    <col min="10" max="10" width="15" customWidth="1"/>
    <col min="11" max="11" width="16" customWidth="1"/>
    <col min="12" max="12" width="14" customWidth="1"/>
    <col min="13" max="13" width="25" customWidth="1"/>
  </cols>
  <sheetData>
    <row r="1" spans="1:13" x14ac:dyDescent="0.3">
      <c r="A1" s="3" t="s">
        <v>0</v>
      </c>
      <c r="B1" s="4" t="s">
        <v>1</v>
      </c>
      <c r="C1" s="4"/>
      <c r="D1" s="3" t="s">
        <v>2</v>
      </c>
      <c r="E1" s="3" t="s">
        <v>3</v>
      </c>
      <c r="F1" s="3" t="s">
        <v>4</v>
      </c>
      <c r="G1" s="5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</row>
    <row r="2" spans="1:13" x14ac:dyDescent="0.3">
      <c r="A2">
        <v>6</v>
      </c>
      <c r="B2" s="2" t="s">
        <v>12</v>
      </c>
      <c r="D2" t="s">
        <v>13</v>
      </c>
      <c r="E2" t="s">
        <v>14</v>
      </c>
      <c r="F2" s="6">
        <v>2022</v>
      </c>
      <c r="G2" s="1">
        <v>79500</v>
      </c>
      <c r="H2" s="6">
        <v>9800</v>
      </c>
      <c r="I2" t="s">
        <v>15</v>
      </c>
      <c r="J2" t="s">
        <v>16</v>
      </c>
      <c r="K2" t="s">
        <v>17</v>
      </c>
      <c r="L2" t="s">
        <v>18</v>
      </c>
      <c r="M2" t="s">
        <v>19</v>
      </c>
    </row>
    <row r="3" spans="1:13" x14ac:dyDescent="0.3">
      <c r="A3">
        <v>7</v>
      </c>
      <c r="B3" s="2" t="s">
        <v>20</v>
      </c>
      <c r="C3" s="2">
        <f>IF(B3="INVALID","",VALUE(B3))</f>
        <v>45365</v>
      </c>
      <c r="D3" t="s">
        <v>21</v>
      </c>
      <c r="E3" t="s">
        <v>22</v>
      </c>
      <c r="F3" s="6">
        <v>2023</v>
      </c>
      <c r="G3" s="1">
        <v>235000</v>
      </c>
      <c r="H3" s="6">
        <v>1200</v>
      </c>
      <c r="I3" t="s">
        <v>23</v>
      </c>
      <c r="J3" t="s">
        <v>24</v>
      </c>
      <c r="K3" t="s">
        <v>25</v>
      </c>
      <c r="L3" t="s">
        <v>26</v>
      </c>
      <c r="M3" t="s">
        <v>19</v>
      </c>
    </row>
    <row r="4" spans="1:13" x14ac:dyDescent="0.3">
      <c r="A4">
        <v>8</v>
      </c>
      <c r="B4" s="2" t="s">
        <v>27</v>
      </c>
      <c r="C4" s="2">
        <f t="shared" ref="C4:C67" si="0">IF(B4="INVALID","",VALUE(B4))</f>
        <v>45400</v>
      </c>
      <c r="D4" t="s">
        <v>28</v>
      </c>
      <c r="E4" t="s">
        <v>29</v>
      </c>
      <c r="F4" s="6">
        <v>2024</v>
      </c>
      <c r="G4" s="1">
        <v>112750</v>
      </c>
      <c r="H4" s="6">
        <v>1201</v>
      </c>
      <c r="I4" t="s">
        <v>30</v>
      </c>
      <c r="J4" t="s">
        <v>31</v>
      </c>
      <c r="K4" t="s">
        <v>32</v>
      </c>
      <c r="L4" t="s">
        <v>33</v>
      </c>
      <c r="M4" t="s">
        <v>34</v>
      </c>
    </row>
    <row r="5" spans="1:13" x14ac:dyDescent="0.3">
      <c r="A5">
        <v>9</v>
      </c>
      <c r="B5" s="2" t="s">
        <v>12</v>
      </c>
      <c r="C5" s="2" t="str">
        <f t="shared" si="0"/>
        <v/>
      </c>
      <c r="D5" t="s">
        <v>35</v>
      </c>
      <c r="E5" t="s">
        <v>36</v>
      </c>
      <c r="F5" s="6">
        <v>2025</v>
      </c>
      <c r="G5" s="1">
        <v>68900</v>
      </c>
      <c r="H5" s="6">
        <v>1202</v>
      </c>
      <c r="I5" t="s">
        <v>37</v>
      </c>
      <c r="J5" t="s">
        <v>38</v>
      </c>
      <c r="K5" t="s">
        <v>39</v>
      </c>
      <c r="L5" t="s">
        <v>40</v>
      </c>
      <c r="M5" t="s">
        <v>41</v>
      </c>
    </row>
    <row r="6" spans="1:13" x14ac:dyDescent="0.3">
      <c r="A6">
        <v>10</v>
      </c>
      <c r="B6" s="2" t="s">
        <v>42</v>
      </c>
      <c r="C6" s="2">
        <f t="shared" si="0"/>
        <v>45434</v>
      </c>
      <c r="D6" t="s">
        <v>43</v>
      </c>
      <c r="E6" t="s">
        <v>44</v>
      </c>
      <c r="F6" s="6">
        <v>2026</v>
      </c>
      <c r="G6" s="1">
        <v>121000</v>
      </c>
      <c r="H6" s="6">
        <v>1203</v>
      </c>
      <c r="I6" t="s">
        <v>45</v>
      </c>
      <c r="J6" t="s">
        <v>46</v>
      </c>
      <c r="K6" t="s">
        <v>47</v>
      </c>
      <c r="L6" t="s">
        <v>48</v>
      </c>
      <c r="M6" t="s">
        <v>19</v>
      </c>
    </row>
    <row r="7" spans="1:13" x14ac:dyDescent="0.3">
      <c r="A7">
        <v>11</v>
      </c>
      <c r="B7" s="2" t="s">
        <v>49</v>
      </c>
      <c r="C7" s="2">
        <f t="shared" si="0"/>
        <v>45510</v>
      </c>
      <c r="D7" t="s">
        <v>50</v>
      </c>
      <c r="E7" t="s">
        <v>51</v>
      </c>
      <c r="F7" s="6">
        <v>2027</v>
      </c>
      <c r="G7" s="1">
        <v>104500</v>
      </c>
      <c r="H7" s="6">
        <v>1204</v>
      </c>
      <c r="I7" t="s">
        <v>15</v>
      </c>
      <c r="J7" t="s">
        <v>52</v>
      </c>
      <c r="K7" t="s">
        <v>53</v>
      </c>
      <c r="L7" t="s">
        <v>54</v>
      </c>
      <c r="M7" t="s">
        <v>55</v>
      </c>
    </row>
    <row r="8" spans="1:13" x14ac:dyDescent="0.3">
      <c r="A8">
        <v>12</v>
      </c>
      <c r="B8" s="2" t="s">
        <v>56</v>
      </c>
      <c r="C8" s="2">
        <f t="shared" si="0"/>
        <v>45484</v>
      </c>
      <c r="D8" t="s">
        <v>57</v>
      </c>
      <c r="E8" t="s">
        <v>58</v>
      </c>
      <c r="F8" s="6">
        <v>2028</v>
      </c>
      <c r="G8" s="1">
        <v>96300</v>
      </c>
      <c r="H8" s="6">
        <v>1205</v>
      </c>
      <c r="I8" t="s">
        <v>59</v>
      </c>
      <c r="J8" t="s">
        <v>60</v>
      </c>
      <c r="K8" t="s">
        <v>61</v>
      </c>
      <c r="L8" t="s">
        <v>62</v>
      </c>
      <c r="M8" t="s">
        <v>19</v>
      </c>
    </row>
    <row r="9" spans="1:13" x14ac:dyDescent="0.3">
      <c r="A9">
        <v>13</v>
      </c>
      <c r="B9" s="2" t="s">
        <v>12</v>
      </c>
      <c r="C9" s="2" t="str">
        <f t="shared" si="0"/>
        <v/>
      </c>
      <c r="D9" t="s">
        <v>63</v>
      </c>
      <c r="E9" t="s">
        <v>64</v>
      </c>
      <c r="F9" s="6">
        <v>2029</v>
      </c>
      <c r="G9" s="1">
        <v>89750</v>
      </c>
      <c r="H9" s="6">
        <v>1206</v>
      </c>
      <c r="I9" t="s">
        <v>23</v>
      </c>
      <c r="J9" t="s">
        <v>65</v>
      </c>
      <c r="K9" t="s">
        <v>47</v>
      </c>
      <c r="L9" t="s">
        <v>66</v>
      </c>
      <c r="M9" t="s">
        <v>67</v>
      </c>
    </row>
    <row r="10" spans="1:13" x14ac:dyDescent="0.3">
      <c r="A10">
        <v>14</v>
      </c>
      <c r="B10" s="2" t="s">
        <v>68</v>
      </c>
      <c r="C10" s="2">
        <f t="shared" si="0"/>
        <v>45523</v>
      </c>
      <c r="D10" t="s">
        <v>69</v>
      </c>
      <c r="E10" t="s">
        <v>70</v>
      </c>
      <c r="F10" s="6">
        <v>2030</v>
      </c>
      <c r="G10" s="1">
        <v>73500</v>
      </c>
      <c r="H10" s="6">
        <v>1207</v>
      </c>
      <c r="I10" t="s">
        <v>71</v>
      </c>
      <c r="J10" t="s">
        <v>72</v>
      </c>
      <c r="K10" t="s">
        <v>73</v>
      </c>
      <c r="L10" t="s">
        <v>74</v>
      </c>
      <c r="M10" t="s">
        <v>75</v>
      </c>
    </row>
    <row r="11" spans="1:13" x14ac:dyDescent="0.3">
      <c r="A11">
        <v>15</v>
      </c>
      <c r="B11" s="2" t="s">
        <v>76</v>
      </c>
      <c r="C11" s="2">
        <f t="shared" si="0"/>
        <v>45537</v>
      </c>
      <c r="D11" t="s">
        <v>77</v>
      </c>
      <c r="E11" t="s">
        <v>78</v>
      </c>
      <c r="F11" s="6">
        <v>2031</v>
      </c>
      <c r="G11" s="1">
        <v>95000</v>
      </c>
      <c r="H11" s="6">
        <v>1208</v>
      </c>
      <c r="I11" t="s">
        <v>30</v>
      </c>
      <c r="J11" t="s">
        <v>79</v>
      </c>
      <c r="K11" t="s">
        <v>80</v>
      </c>
      <c r="L11" t="s">
        <v>81</v>
      </c>
      <c r="M11" t="s">
        <v>34</v>
      </c>
    </row>
    <row r="12" spans="1:13" x14ac:dyDescent="0.3">
      <c r="A12">
        <v>16</v>
      </c>
      <c r="B12" s="2" t="s">
        <v>82</v>
      </c>
      <c r="C12" s="2">
        <f t="shared" si="0"/>
        <v>45552</v>
      </c>
      <c r="D12" t="s">
        <v>83</v>
      </c>
      <c r="E12" t="s">
        <v>84</v>
      </c>
      <c r="F12" s="6">
        <v>2032</v>
      </c>
      <c r="G12" s="1">
        <v>153200.5</v>
      </c>
      <c r="H12" s="6">
        <v>1209</v>
      </c>
      <c r="I12" t="s">
        <v>85</v>
      </c>
      <c r="J12" t="s">
        <v>86</v>
      </c>
      <c r="K12" t="s">
        <v>32</v>
      </c>
      <c r="L12" t="s">
        <v>87</v>
      </c>
      <c r="M12" t="s">
        <v>19</v>
      </c>
    </row>
    <row r="13" spans="1:13" x14ac:dyDescent="0.3">
      <c r="A13">
        <v>17</v>
      </c>
      <c r="B13" s="2" t="s">
        <v>12</v>
      </c>
      <c r="C13" s="2" t="str">
        <f t="shared" si="0"/>
        <v/>
      </c>
      <c r="D13" t="s">
        <v>88</v>
      </c>
      <c r="E13" t="s">
        <v>89</v>
      </c>
      <c r="F13" s="6">
        <v>2033</v>
      </c>
      <c r="G13" s="1">
        <v>241000</v>
      </c>
      <c r="H13" s="6">
        <v>1210</v>
      </c>
      <c r="I13" t="s">
        <v>23</v>
      </c>
      <c r="J13" t="s">
        <v>90</v>
      </c>
      <c r="K13" t="s">
        <v>91</v>
      </c>
      <c r="L13" t="s">
        <v>92</v>
      </c>
      <c r="M13" t="s">
        <v>41</v>
      </c>
    </row>
    <row r="14" spans="1:13" x14ac:dyDescent="0.3">
      <c r="A14">
        <v>18</v>
      </c>
      <c r="B14" s="2" t="s">
        <v>93</v>
      </c>
      <c r="C14" s="2">
        <f t="shared" si="0"/>
        <v>45423</v>
      </c>
      <c r="D14" t="s">
        <v>94</v>
      </c>
      <c r="E14" t="s">
        <v>95</v>
      </c>
      <c r="F14" s="6">
        <v>2034</v>
      </c>
      <c r="G14" s="1">
        <v>132000</v>
      </c>
      <c r="H14" s="6">
        <v>1211</v>
      </c>
      <c r="I14" t="s">
        <v>37</v>
      </c>
      <c r="J14" t="s">
        <v>96</v>
      </c>
      <c r="K14" t="s">
        <v>47</v>
      </c>
      <c r="L14" t="s">
        <v>97</v>
      </c>
      <c r="M14" t="s">
        <v>19</v>
      </c>
    </row>
    <row r="15" spans="1:13" x14ac:dyDescent="0.3">
      <c r="A15">
        <v>19</v>
      </c>
      <c r="B15" s="2" t="s">
        <v>98</v>
      </c>
      <c r="C15" s="2">
        <f t="shared" si="0"/>
        <v>45638</v>
      </c>
      <c r="D15" t="s">
        <v>99</v>
      </c>
      <c r="E15" t="s">
        <v>100</v>
      </c>
      <c r="F15" s="6">
        <v>2035</v>
      </c>
      <c r="G15" s="1">
        <v>188000</v>
      </c>
      <c r="H15" s="6">
        <v>1212</v>
      </c>
      <c r="I15" t="s">
        <v>101</v>
      </c>
      <c r="J15" t="s">
        <v>102</v>
      </c>
      <c r="K15" t="s">
        <v>32</v>
      </c>
      <c r="L15" t="s">
        <v>103</v>
      </c>
      <c r="M15" t="s">
        <v>104</v>
      </c>
    </row>
    <row r="16" spans="1:13" x14ac:dyDescent="0.3">
      <c r="A16">
        <v>20</v>
      </c>
      <c r="B16" s="2" t="s">
        <v>105</v>
      </c>
      <c r="C16" s="2">
        <f t="shared" si="0"/>
        <v>45651</v>
      </c>
      <c r="D16" t="s">
        <v>106</v>
      </c>
      <c r="E16" t="s">
        <v>107</v>
      </c>
      <c r="F16" s="6">
        <v>2036</v>
      </c>
      <c r="G16" s="1">
        <v>127800</v>
      </c>
      <c r="H16" s="6">
        <v>1213</v>
      </c>
      <c r="I16" t="s">
        <v>15</v>
      </c>
      <c r="J16" t="s">
        <v>108</v>
      </c>
      <c r="K16" t="s">
        <v>109</v>
      </c>
      <c r="L16" t="s">
        <v>110</v>
      </c>
      <c r="M16" t="s">
        <v>19</v>
      </c>
    </row>
    <row r="17" spans="1:13" x14ac:dyDescent="0.3">
      <c r="A17">
        <v>21</v>
      </c>
      <c r="B17" s="2" t="s">
        <v>111</v>
      </c>
      <c r="C17" s="2">
        <f t="shared" si="0"/>
        <v>45663</v>
      </c>
      <c r="D17" t="s">
        <v>112</v>
      </c>
      <c r="E17" t="s">
        <v>113</v>
      </c>
      <c r="F17" s="6">
        <v>2037</v>
      </c>
      <c r="G17" s="1">
        <v>58900</v>
      </c>
      <c r="H17" s="6">
        <v>1214</v>
      </c>
      <c r="I17" t="s">
        <v>45</v>
      </c>
      <c r="J17" t="s">
        <v>114</v>
      </c>
      <c r="K17" t="s">
        <v>53</v>
      </c>
      <c r="L17" t="s">
        <v>115</v>
      </c>
      <c r="M17" t="s">
        <v>41</v>
      </c>
    </row>
    <row r="18" spans="1:13" x14ac:dyDescent="0.3">
      <c r="A18">
        <v>22</v>
      </c>
      <c r="B18" s="2" t="s">
        <v>12</v>
      </c>
      <c r="C18" s="2" t="str">
        <f t="shared" si="0"/>
        <v/>
      </c>
      <c r="D18" t="s">
        <v>116</v>
      </c>
      <c r="E18" t="s">
        <v>117</v>
      </c>
      <c r="F18" s="6">
        <v>2038</v>
      </c>
      <c r="G18" s="1">
        <v>164000</v>
      </c>
      <c r="H18" s="6">
        <v>1215</v>
      </c>
      <c r="I18" t="s">
        <v>30</v>
      </c>
      <c r="J18" t="s">
        <v>118</v>
      </c>
      <c r="K18" t="s">
        <v>119</v>
      </c>
      <c r="L18" t="s">
        <v>120</v>
      </c>
      <c r="M18" t="s">
        <v>34</v>
      </c>
    </row>
    <row r="19" spans="1:13" x14ac:dyDescent="0.3">
      <c r="A19">
        <v>23</v>
      </c>
      <c r="B19" s="2" t="s">
        <v>121</v>
      </c>
      <c r="C19" s="2">
        <f t="shared" si="0"/>
        <v>45702</v>
      </c>
      <c r="D19" t="s">
        <v>122</v>
      </c>
      <c r="E19" t="s">
        <v>123</v>
      </c>
      <c r="F19" s="6">
        <v>2039</v>
      </c>
      <c r="G19" s="1">
        <v>118500</v>
      </c>
      <c r="H19" s="6">
        <v>1216</v>
      </c>
      <c r="I19" t="s">
        <v>23</v>
      </c>
      <c r="J19" t="s">
        <v>124</v>
      </c>
      <c r="K19" t="s">
        <v>125</v>
      </c>
      <c r="L19" t="s">
        <v>126</v>
      </c>
      <c r="M19" t="s">
        <v>19</v>
      </c>
    </row>
    <row r="20" spans="1:13" x14ac:dyDescent="0.3">
      <c r="A20">
        <v>24</v>
      </c>
      <c r="B20" s="2" t="s">
        <v>12</v>
      </c>
      <c r="C20" s="2" t="str">
        <f t="shared" si="0"/>
        <v/>
      </c>
      <c r="D20" t="s">
        <v>127</v>
      </c>
      <c r="E20" t="s">
        <v>128</v>
      </c>
      <c r="F20" s="6">
        <v>2040</v>
      </c>
      <c r="G20" s="1">
        <v>91300</v>
      </c>
      <c r="H20" s="6">
        <v>1217</v>
      </c>
      <c r="I20" t="s">
        <v>15</v>
      </c>
      <c r="J20" t="s">
        <v>129</v>
      </c>
      <c r="K20" t="s">
        <v>130</v>
      </c>
      <c r="L20" t="s">
        <v>131</v>
      </c>
      <c r="M20" t="s">
        <v>41</v>
      </c>
    </row>
    <row r="21" spans="1:13" x14ac:dyDescent="0.3">
      <c r="A21">
        <v>25</v>
      </c>
      <c r="B21" s="2" t="s">
        <v>132</v>
      </c>
      <c r="C21" s="2">
        <f t="shared" si="0"/>
        <v>45737</v>
      </c>
      <c r="D21" t="s">
        <v>133</v>
      </c>
      <c r="E21" t="s">
        <v>134</v>
      </c>
      <c r="F21" s="6">
        <v>2041</v>
      </c>
      <c r="G21" s="1">
        <v>158750</v>
      </c>
      <c r="H21" s="6">
        <v>1218</v>
      </c>
      <c r="I21" t="s">
        <v>59</v>
      </c>
      <c r="J21" t="s">
        <v>135</v>
      </c>
      <c r="K21" t="s">
        <v>136</v>
      </c>
      <c r="L21" t="s">
        <v>137</v>
      </c>
      <c r="M21" t="s">
        <v>19</v>
      </c>
    </row>
    <row r="22" spans="1:13" x14ac:dyDescent="0.3">
      <c r="A22">
        <v>26</v>
      </c>
      <c r="B22" s="2" t="s">
        <v>138</v>
      </c>
      <c r="C22" s="2">
        <f t="shared" si="0"/>
        <v>45744</v>
      </c>
      <c r="D22" t="s">
        <v>139</v>
      </c>
      <c r="E22" t="s">
        <v>140</v>
      </c>
      <c r="F22" s="6">
        <v>2042</v>
      </c>
      <c r="G22" s="1">
        <v>72000</v>
      </c>
      <c r="H22" s="6">
        <v>1219</v>
      </c>
      <c r="I22" t="s">
        <v>45</v>
      </c>
      <c r="J22" t="s">
        <v>141</v>
      </c>
      <c r="K22" t="s">
        <v>142</v>
      </c>
      <c r="L22" t="s">
        <v>143</v>
      </c>
      <c r="M22" t="s">
        <v>55</v>
      </c>
    </row>
    <row r="23" spans="1:13" x14ac:dyDescent="0.3">
      <c r="A23">
        <v>27</v>
      </c>
      <c r="B23" s="2" t="s">
        <v>144</v>
      </c>
      <c r="C23" s="2">
        <f t="shared" si="0"/>
        <v>45756</v>
      </c>
      <c r="D23" t="s">
        <v>145</v>
      </c>
      <c r="E23" t="s">
        <v>146</v>
      </c>
      <c r="F23" s="6">
        <v>2043</v>
      </c>
      <c r="G23" s="1">
        <v>86500</v>
      </c>
      <c r="H23" s="6">
        <v>1220</v>
      </c>
      <c r="I23" t="s">
        <v>23</v>
      </c>
      <c r="J23" t="s">
        <v>147</v>
      </c>
      <c r="K23" t="s">
        <v>32</v>
      </c>
      <c r="L23" t="s">
        <v>148</v>
      </c>
      <c r="M23" t="s">
        <v>19</v>
      </c>
    </row>
    <row r="24" spans="1:13" x14ac:dyDescent="0.3">
      <c r="A24">
        <v>28</v>
      </c>
      <c r="B24" s="2" t="s">
        <v>12</v>
      </c>
      <c r="C24" s="2" t="str">
        <f t="shared" si="0"/>
        <v/>
      </c>
      <c r="D24" t="s">
        <v>149</v>
      </c>
      <c r="E24" t="s">
        <v>150</v>
      </c>
      <c r="F24" s="6">
        <v>2044</v>
      </c>
      <c r="G24" s="1">
        <v>270000</v>
      </c>
      <c r="H24" s="6">
        <v>1221</v>
      </c>
      <c r="I24" t="s">
        <v>37</v>
      </c>
      <c r="J24" t="s">
        <v>151</v>
      </c>
      <c r="K24" t="s">
        <v>152</v>
      </c>
      <c r="L24" t="s">
        <v>153</v>
      </c>
      <c r="M24" t="s">
        <v>154</v>
      </c>
    </row>
    <row r="25" spans="1:13" x14ac:dyDescent="0.3">
      <c r="A25">
        <v>29</v>
      </c>
      <c r="B25" s="2" t="s">
        <v>155</v>
      </c>
      <c r="C25" s="2">
        <f t="shared" si="0"/>
        <v>45789</v>
      </c>
      <c r="D25" t="s">
        <v>156</v>
      </c>
      <c r="E25" t="s">
        <v>157</v>
      </c>
      <c r="F25" s="6">
        <v>2045</v>
      </c>
      <c r="G25" s="1">
        <v>139000</v>
      </c>
      <c r="H25" s="6">
        <v>1222</v>
      </c>
      <c r="I25" t="s">
        <v>30</v>
      </c>
      <c r="J25" t="s">
        <v>158</v>
      </c>
      <c r="K25" t="s">
        <v>125</v>
      </c>
      <c r="L25" t="s">
        <v>159</v>
      </c>
      <c r="M25" t="s">
        <v>34</v>
      </c>
    </row>
    <row r="26" spans="1:13" x14ac:dyDescent="0.3">
      <c r="A26">
        <v>30</v>
      </c>
      <c r="B26" s="2" t="s">
        <v>160</v>
      </c>
      <c r="C26" s="2">
        <f t="shared" si="0"/>
        <v>45826</v>
      </c>
      <c r="D26" t="s">
        <v>161</v>
      </c>
      <c r="E26" t="s">
        <v>162</v>
      </c>
      <c r="F26" s="6">
        <v>2046</v>
      </c>
      <c r="G26" s="1">
        <v>76800</v>
      </c>
      <c r="H26" s="6">
        <v>1223</v>
      </c>
      <c r="I26" t="s">
        <v>15</v>
      </c>
      <c r="J26" t="s">
        <v>163</v>
      </c>
      <c r="K26" t="s">
        <v>164</v>
      </c>
      <c r="L26" t="s">
        <v>165</v>
      </c>
      <c r="M26" t="s">
        <v>19</v>
      </c>
    </row>
    <row r="27" spans="1:13" x14ac:dyDescent="0.3">
      <c r="A27">
        <v>31</v>
      </c>
      <c r="B27" s="2" t="s">
        <v>12</v>
      </c>
      <c r="C27" s="2" t="str">
        <f t="shared" si="0"/>
        <v/>
      </c>
      <c r="D27" t="s">
        <v>166</v>
      </c>
      <c r="E27" t="s">
        <v>167</v>
      </c>
      <c r="F27" s="6">
        <v>2047</v>
      </c>
      <c r="G27" s="1">
        <v>173600</v>
      </c>
      <c r="H27" s="6">
        <v>1224</v>
      </c>
      <c r="I27" t="s">
        <v>23</v>
      </c>
      <c r="J27" t="s">
        <v>168</v>
      </c>
      <c r="K27" t="s">
        <v>169</v>
      </c>
      <c r="L27" t="s">
        <v>170</v>
      </c>
      <c r="M27" t="s">
        <v>41</v>
      </c>
    </row>
    <row r="28" spans="1:13" x14ac:dyDescent="0.3">
      <c r="A28">
        <v>32</v>
      </c>
      <c r="B28" s="2" t="s">
        <v>171</v>
      </c>
      <c r="C28" s="2">
        <f t="shared" si="0"/>
        <v>45845</v>
      </c>
      <c r="D28" t="s">
        <v>172</v>
      </c>
      <c r="E28" t="s">
        <v>173</v>
      </c>
      <c r="F28" s="6">
        <v>2048</v>
      </c>
      <c r="G28" s="1">
        <v>119900</v>
      </c>
      <c r="H28" s="6">
        <v>1225</v>
      </c>
      <c r="I28" t="s">
        <v>37</v>
      </c>
      <c r="J28" t="s">
        <v>174</v>
      </c>
      <c r="K28" t="s">
        <v>175</v>
      </c>
      <c r="L28" t="s">
        <v>176</v>
      </c>
      <c r="M28" t="s">
        <v>19</v>
      </c>
    </row>
    <row r="29" spans="1:13" x14ac:dyDescent="0.3">
      <c r="A29">
        <v>33</v>
      </c>
      <c r="B29" s="2" t="s">
        <v>177</v>
      </c>
      <c r="C29" s="2">
        <f t="shared" si="0"/>
        <v>45860</v>
      </c>
      <c r="D29" t="s">
        <v>178</v>
      </c>
      <c r="E29" t="s">
        <v>179</v>
      </c>
      <c r="F29" s="6">
        <v>2049</v>
      </c>
      <c r="G29" s="1">
        <v>109250</v>
      </c>
      <c r="H29" s="6">
        <v>1226</v>
      </c>
      <c r="I29" t="s">
        <v>59</v>
      </c>
      <c r="J29" t="s">
        <v>180</v>
      </c>
      <c r="K29" t="s">
        <v>32</v>
      </c>
      <c r="L29" t="s">
        <v>181</v>
      </c>
      <c r="M29" t="s">
        <v>34</v>
      </c>
    </row>
    <row r="30" spans="1:13" x14ac:dyDescent="0.3">
      <c r="A30">
        <v>34</v>
      </c>
      <c r="B30" s="2" t="s">
        <v>182</v>
      </c>
      <c r="C30" s="2">
        <f t="shared" si="0"/>
        <v>45883</v>
      </c>
      <c r="D30" t="s">
        <v>183</v>
      </c>
      <c r="E30" t="s">
        <v>184</v>
      </c>
      <c r="F30" s="6">
        <v>2050</v>
      </c>
      <c r="G30" s="1">
        <v>82000</v>
      </c>
      <c r="H30" s="6">
        <v>1227</v>
      </c>
      <c r="I30" t="s">
        <v>23</v>
      </c>
      <c r="J30" t="s">
        <v>185</v>
      </c>
      <c r="K30" t="s">
        <v>53</v>
      </c>
      <c r="L30" t="s">
        <v>186</v>
      </c>
      <c r="M30" t="s">
        <v>19</v>
      </c>
    </row>
    <row r="31" spans="1:13" x14ac:dyDescent="0.3">
      <c r="A31">
        <v>35</v>
      </c>
      <c r="B31" s="2" t="s">
        <v>187</v>
      </c>
      <c r="C31" s="2">
        <f t="shared" si="0"/>
        <v>45901</v>
      </c>
      <c r="D31" t="s">
        <v>188</v>
      </c>
      <c r="E31" t="s">
        <v>189</v>
      </c>
      <c r="F31" s="6">
        <v>2051</v>
      </c>
      <c r="G31" s="1">
        <v>214000</v>
      </c>
      <c r="H31" s="6">
        <v>1228</v>
      </c>
      <c r="I31" t="s">
        <v>101</v>
      </c>
      <c r="J31" t="s">
        <v>65</v>
      </c>
      <c r="K31" t="s">
        <v>47</v>
      </c>
      <c r="L31" t="s">
        <v>190</v>
      </c>
      <c r="M31" t="s">
        <v>191</v>
      </c>
    </row>
    <row r="32" spans="1:13" x14ac:dyDescent="0.3">
      <c r="A32">
        <v>36</v>
      </c>
      <c r="B32" s="2" t="s">
        <v>12</v>
      </c>
      <c r="C32" s="2" t="str">
        <f t="shared" si="0"/>
        <v/>
      </c>
      <c r="D32" t="s">
        <v>192</v>
      </c>
      <c r="E32" t="s">
        <v>193</v>
      </c>
      <c r="F32" s="6">
        <v>2052</v>
      </c>
      <c r="G32" s="1">
        <v>124500</v>
      </c>
      <c r="H32" s="6">
        <v>1229</v>
      </c>
      <c r="I32" t="s">
        <v>15</v>
      </c>
      <c r="J32" t="s">
        <v>194</v>
      </c>
      <c r="K32" t="s">
        <v>53</v>
      </c>
      <c r="L32" t="s">
        <v>195</v>
      </c>
      <c r="M32" t="s">
        <v>19</v>
      </c>
    </row>
    <row r="33" spans="1:13" x14ac:dyDescent="0.3">
      <c r="A33">
        <v>37</v>
      </c>
      <c r="B33" s="2" t="s">
        <v>196</v>
      </c>
      <c r="C33" s="2">
        <f t="shared" si="0"/>
        <v>45918</v>
      </c>
      <c r="D33" t="s">
        <v>197</v>
      </c>
      <c r="E33" t="s">
        <v>128</v>
      </c>
      <c r="F33" s="6">
        <v>2053</v>
      </c>
      <c r="G33" s="1">
        <v>98200</v>
      </c>
      <c r="H33" s="6">
        <v>1230</v>
      </c>
      <c r="I33" t="s">
        <v>45</v>
      </c>
      <c r="J33" t="s">
        <v>198</v>
      </c>
      <c r="K33" t="s">
        <v>47</v>
      </c>
      <c r="L33" t="s">
        <v>199</v>
      </c>
      <c r="M33" t="s">
        <v>41</v>
      </c>
    </row>
    <row r="34" spans="1:13" x14ac:dyDescent="0.3">
      <c r="A34">
        <v>38</v>
      </c>
      <c r="B34" s="2" t="s">
        <v>200</v>
      </c>
      <c r="C34" s="2">
        <f t="shared" si="0"/>
        <v>45934</v>
      </c>
      <c r="D34" t="s">
        <v>201</v>
      </c>
      <c r="E34" t="s">
        <v>113</v>
      </c>
      <c r="F34" s="6">
        <v>2054</v>
      </c>
      <c r="G34" s="1">
        <v>67500</v>
      </c>
      <c r="H34" s="6">
        <v>1231</v>
      </c>
      <c r="I34" t="s">
        <v>30</v>
      </c>
      <c r="J34" t="s">
        <v>202</v>
      </c>
      <c r="K34" t="s">
        <v>169</v>
      </c>
      <c r="L34" t="s">
        <v>203</v>
      </c>
      <c r="M34" t="s">
        <v>19</v>
      </c>
    </row>
    <row r="35" spans="1:13" x14ac:dyDescent="0.3">
      <c r="A35">
        <v>39</v>
      </c>
      <c r="B35" s="2" t="s">
        <v>204</v>
      </c>
      <c r="C35" s="2">
        <f t="shared" si="0"/>
        <v>45942</v>
      </c>
      <c r="D35" t="s">
        <v>205</v>
      </c>
      <c r="E35" t="s">
        <v>206</v>
      </c>
      <c r="F35" s="6">
        <v>2055</v>
      </c>
      <c r="G35" s="1">
        <v>116900</v>
      </c>
      <c r="H35" s="6">
        <v>1232</v>
      </c>
      <c r="I35" t="s">
        <v>23</v>
      </c>
      <c r="J35" t="s">
        <v>207</v>
      </c>
      <c r="K35" t="s">
        <v>208</v>
      </c>
      <c r="L35" t="s">
        <v>209</v>
      </c>
      <c r="M35" t="s">
        <v>34</v>
      </c>
    </row>
    <row r="36" spans="1:13" x14ac:dyDescent="0.3">
      <c r="A36">
        <v>40</v>
      </c>
      <c r="B36" s="2" t="s">
        <v>210</v>
      </c>
      <c r="C36" s="2">
        <f t="shared" si="0"/>
        <v>45959</v>
      </c>
      <c r="D36" t="s">
        <v>211</v>
      </c>
      <c r="E36" t="s">
        <v>212</v>
      </c>
      <c r="F36" s="6">
        <v>2056</v>
      </c>
      <c r="G36" s="1">
        <v>112000</v>
      </c>
      <c r="H36" s="6">
        <v>1233</v>
      </c>
      <c r="I36" t="s">
        <v>37</v>
      </c>
      <c r="J36" t="s">
        <v>213</v>
      </c>
      <c r="K36" t="s">
        <v>214</v>
      </c>
      <c r="L36" t="s">
        <v>215</v>
      </c>
      <c r="M36" t="s">
        <v>19</v>
      </c>
    </row>
    <row r="37" spans="1:13" x14ac:dyDescent="0.3">
      <c r="A37">
        <v>41</v>
      </c>
      <c r="B37" s="2" t="s">
        <v>216</v>
      </c>
      <c r="C37" s="2">
        <f t="shared" si="0"/>
        <v>45699</v>
      </c>
      <c r="D37" t="s">
        <v>217</v>
      </c>
      <c r="E37" t="s">
        <v>70</v>
      </c>
      <c r="F37" s="6">
        <v>2057</v>
      </c>
      <c r="G37" s="1">
        <v>74000</v>
      </c>
      <c r="H37" s="6">
        <v>1234</v>
      </c>
      <c r="I37" t="s">
        <v>71</v>
      </c>
      <c r="J37" t="s">
        <v>218</v>
      </c>
      <c r="K37" t="s">
        <v>219</v>
      </c>
      <c r="L37" t="s">
        <v>220</v>
      </c>
      <c r="M37" t="s">
        <v>55</v>
      </c>
    </row>
    <row r="38" spans="1:13" x14ac:dyDescent="0.3">
      <c r="A38">
        <v>42</v>
      </c>
      <c r="B38" s="2" t="s">
        <v>221</v>
      </c>
      <c r="C38" s="2">
        <f t="shared" si="0"/>
        <v>45977</v>
      </c>
      <c r="D38" t="s">
        <v>222</v>
      </c>
      <c r="E38" t="s">
        <v>223</v>
      </c>
      <c r="F38" s="6">
        <v>2058</v>
      </c>
      <c r="G38" s="1">
        <v>198300</v>
      </c>
      <c r="H38" s="6">
        <v>1235</v>
      </c>
      <c r="I38" t="s">
        <v>23</v>
      </c>
      <c r="J38" t="s">
        <v>224</v>
      </c>
      <c r="K38" t="s">
        <v>225</v>
      </c>
      <c r="L38" t="s">
        <v>226</v>
      </c>
      <c r="M38" t="s">
        <v>104</v>
      </c>
    </row>
    <row r="39" spans="1:13" x14ac:dyDescent="0.3">
      <c r="A39">
        <v>43</v>
      </c>
      <c r="B39" s="2" t="s">
        <v>12</v>
      </c>
      <c r="C39" s="2" t="str">
        <f t="shared" si="0"/>
        <v/>
      </c>
      <c r="D39" t="s">
        <v>227</v>
      </c>
      <c r="E39" t="s">
        <v>29</v>
      </c>
      <c r="F39" s="6">
        <v>2059</v>
      </c>
      <c r="G39" s="1">
        <v>103750</v>
      </c>
      <c r="H39" s="6">
        <v>1236</v>
      </c>
      <c r="I39" t="s">
        <v>23</v>
      </c>
      <c r="J39" t="s">
        <v>228</v>
      </c>
      <c r="K39" t="s">
        <v>80</v>
      </c>
      <c r="L39" t="s">
        <v>229</v>
      </c>
      <c r="M39" t="s">
        <v>67</v>
      </c>
    </row>
    <row r="40" spans="1:13" x14ac:dyDescent="0.3">
      <c r="A40">
        <v>44</v>
      </c>
      <c r="B40" s="2" t="s">
        <v>12</v>
      </c>
      <c r="C40" s="2" t="str">
        <f t="shared" si="0"/>
        <v/>
      </c>
      <c r="D40" t="s">
        <v>230</v>
      </c>
      <c r="E40" t="s">
        <v>78</v>
      </c>
      <c r="F40" s="6">
        <v>2060</v>
      </c>
      <c r="G40" s="1">
        <v>93600</v>
      </c>
      <c r="H40" s="6">
        <v>1237</v>
      </c>
      <c r="I40" t="s">
        <v>30</v>
      </c>
      <c r="J40" t="s">
        <v>231</v>
      </c>
      <c r="K40" t="s">
        <v>47</v>
      </c>
      <c r="L40" t="s">
        <v>232</v>
      </c>
      <c r="M40" t="s">
        <v>75</v>
      </c>
    </row>
    <row r="41" spans="1:13" x14ac:dyDescent="0.3">
      <c r="A41">
        <v>45</v>
      </c>
      <c r="B41" s="2" t="s">
        <v>233</v>
      </c>
      <c r="C41" s="2">
        <f t="shared" si="0"/>
        <v>45998</v>
      </c>
      <c r="D41" t="s">
        <v>234</v>
      </c>
      <c r="E41" t="s">
        <v>44</v>
      </c>
      <c r="F41" s="6">
        <v>2061</v>
      </c>
      <c r="G41" s="1">
        <v>129000</v>
      </c>
      <c r="H41" s="6">
        <v>1238</v>
      </c>
      <c r="I41" t="s">
        <v>85</v>
      </c>
      <c r="J41" t="s">
        <v>235</v>
      </c>
      <c r="K41" t="s">
        <v>236</v>
      </c>
      <c r="L41" t="s">
        <v>237</v>
      </c>
      <c r="M41" t="s">
        <v>34</v>
      </c>
    </row>
    <row r="42" spans="1:13" x14ac:dyDescent="0.3">
      <c r="A42">
        <v>46</v>
      </c>
      <c r="B42" s="2" t="s">
        <v>238</v>
      </c>
      <c r="C42" s="2">
        <f t="shared" si="0"/>
        <v>46013</v>
      </c>
      <c r="D42" t="s">
        <v>239</v>
      </c>
      <c r="E42" t="s">
        <v>240</v>
      </c>
      <c r="F42" s="6">
        <v>2062</v>
      </c>
      <c r="G42" s="1">
        <v>136000</v>
      </c>
      <c r="H42" s="6">
        <v>1239</v>
      </c>
      <c r="I42" t="s">
        <v>15</v>
      </c>
      <c r="J42" t="s">
        <v>241</v>
      </c>
      <c r="K42" t="s">
        <v>39</v>
      </c>
      <c r="L42" t="s">
        <v>242</v>
      </c>
      <c r="M42" t="s">
        <v>19</v>
      </c>
    </row>
    <row r="43" spans="1:13" x14ac:dyDescent="0.3">
      <c r="A43">
        <v>47</v>
      </c>
      <c r="B43" s="2" t="s">
        <v>12</v>
      </c>
      <c r="C43" s="2" t="str">
        <f t="shared" si="0"/>
        <v/>
      </c>
      <c r="D43" t="s">
        <v>243</v>
      </c>
      <c r="E43" t="s">
        <v>244</v>
      </c>
      <c r="F43" s="6">
        <v>2063</v>
      </c>
      <c r="G43" s="1">
        <v>286500</v>
      </c>
      <c r="H43" s="6">
        <v>1240</v>
      </c>
      <c r="I43" t="s">
        <v>23</v>
      </c>
      <c r="J43" t="s">
        <v>245</v>
      </c>
      <c r="K43" t="s">
        <v>32</v>
      </c>
      <c r="L43" t="s">
        <v>246</v>
      </c>
      <c r="M43" t="s">
        <v>41</v>
      </c>
    </row>
    <row r="44" spans="1:13" x14ac:dyDescent="0.3">
      <c r="A44">
        <v>48</v>
      </c>
      <c r="B44" s="2" t="s">
        <v>247</v>
      </c>
      <c r="C44" s="2">
        <f t="shared" si="0"/>
        <v>46030</v>
      </c>
      <c r="D44" t="s">
        <v>248</v>
      </c>
      <c r="E44" t="s">
        <v>64</v>
      </c>
      <c r="F44" s="6">
        <v>2064</v>
      </c>
      <c r="G44" s="1">
        <v>92800</v>
      </c>
      <c r="H44" s="6">
        <v>1241</v>
      </c>
      <c r="I44" t="s">
        <v>59</v>
      </c>
      <c r="J44" t="s">
        <v>249</v>
      </c>
      <c r="K44" t="s">
        <v>47</v>
      </c>
      <c r="L44" t="s">
        <v>250</v>
      </c>
      <c r="M44" t="s">
        <v>19</v>
      </c>
    </row>
    <row r="45" spans="1:13" x14ac:dyDescent="0.3">
      <c r="A45">
        <v>49</v>
      </c>
      <c r="B45" s="2" t="s">
        <v>251</v>
      </c>
      <c r="C45" s="2">
        <f t="shared" si="0"/>
        <v>46037</v>
      </c>
      <c r="D45" t="s">
        <v>252</v>
      </c>
      <c r="E45" t="s">
        <v>184</v>
      </c>
      <c r="F45" s="6">
        <v>2065</v>
      </c>
      <c r="G45" s="1">
        <v>72400</v>
      </c>
      <c r="H45" s="6">
        <v>1242</v>
      </c>
      <c r="I45" t="s">
        <v>37</v>
      </c>
      <c r="J45" t="s">
        <v>253</v>
      </c>
      <c r="K45" t="s">
        <v>80</v>
      </c>
      <c r="L45" t="s">
        <v>254</v>
      </c>
      <c r="M45" t="s">
        <v>154</v>
      </c>
    </row>
    <row r="46" spans="1:13" x14ac:dyDescent="0.3">
      <c r="A46">
        <v>50</v>
      </c>
      <c r="B46" s="2" t="s">
        <v>255</v>
      </c>
      <c r="C46" s="2">
        <f t="shared" si="0"/>
        <v>46050</v>
      </c>
      <c r="D46" t="s">
        <v>256</v>
      </c>
      <c r="E46" t="s">
        <v>84</v>
      </c>
      <c r="F46" s="6">
        <v>2066</v>
      </c>
      <c r="G46" s="1">
        <v>158500</v>
      </c>
      <c r="H46" s="6">
        <v>1243</v>
      </c>
      <c r="I46" t="s">
        <v>101</v>
      </c>
      <c r="J46" t="s">
        <v>108</v>
      </c>
      <c r="K46" t="s">
        <v>109</v>
      </c>
      <c r="L46" t="s">
        <v>257</v>
      </c>
      <c r="M46" t="s">
        <v>19</v>
      </c>
    </row>
    <row r="47" spans="1:13" x14ac:dyDescent="0.3">
      <c r="A47">
        <v>51</v>
      </c>
      <c r="B47" s="2" t="s">
        <v>258</v>
      </c>
      <c r="C47" s="2">
        <f t="shared" si="0"/>
        <v>46056</v>
      </c>
      <c r="D47" t="s">
        <v>259</v>
      </c>
      <c r="E47" t="s">
        <v>14</v>
      </c>
      <c r="F47" s="6">
        <v>2067</v>
      </c>
      <c r="G47" s="1">
        <v>69900</v>
      </c>
      <c r="H47" s="6">
        <v>1244</v>
      </c>
      <c r="I47" t="s">
        <v>45</v>
      </c>
      <c r="J47" t="s">
        <v>260</v>
      </c>
      <c r="K47" t="s">
        <v>47</v>
      </c>
      <c r="L47" t="s">
        <v>261</v>
      </c>
      <c r="M47" t="s">
        <v>41</v>
      </c>
    </row>
    <row r="48" spans="1:13" x14ac:dyDescent="0.3">
      <c r="A48">
        <v>52</v>
      </c>
      <c r="B48" s="2" t="s">
        <v>12</v>
      </c>
      <c r="C48" s="2" t="str">
        <f t="shared" si="0"/>
        <v/>
      </c>
      <c r="D48" t="s">
        <v>262</v>
      </c>
      <c r="E48" t="s">
        <v>263</v>
      </c>
      <c r="F48" s="6">
        <v>2068</v>
      </c>
      <c r="G48" s="1">
        <v>141250</v>
      </c>
      <c r="H48" s="6">
        <v>1245</v>
      </c>
      <c r="I48" t="s">
        <v>30</v>
      </c>
      <c r="J48" t="s">
        <v>264</v>
      </c>
      <c r="K48" t="s">
        <v>47</v>
      </c>
      <c r="L48" t="s">
        <v>265</v>
      </c>
      <c r="M48" t="s">
        <v>34</v>
      </c>
    </row>
    <row r="49" spans="1:13" x14ac:dyDescent="0.3">
      <c r="A49">
        <v>53</v>
      </c>
      <c r="B49" s="2" t="s">
        <v>266</v>
      </c>
      <c r="C49" s="2">
        <f t="shared" si="0"/>
        <v>46072</v>
      </c>
      <c r="D49" t="s">
        <v>267</v>
      </c>
      <c r="E49" t="s">
        <v>140</v>
      </c>
      <c r="F49" s="6">
        <v>2069</v>
      </c>
      <c r="G49" s="1">
        <v>71500</v>
      </c>
      <c r="H49" s="6">
        <v>1246</v>
      </c>
      <c r="I49" t="s">
        <v>23</v>
      </c>
      <c r="J49" t="s">
        <v>268</v>
      </c>
      <c r="K49" t="s">
        <v>269</v>
      </c>
      <c r="L49" t="s">
        <v>270</v>
      </c>
      <c r="M49" t="s">
        <v>19</v>
      </c>
    </row>
    <row r="50" spans="1:13" x14ac:dyDescent="0.3">
      <c r="A50">
        <v>54</v>
      </c>
      <c r="B50" s="2" t="s">
        <v>271</v>
      </c>
      <c r="C50" s="2">
        <f t="shared" si="0"/>
        <v>46078</v>
      </c>
      <c r="D50" t="s">
        <v>272</v>
      </c>
      <c r="E50" t="s">
        <v>273</v>
      </c>
      <c r="F50" s="6">
        <v>2070</v>
      </c>
      <c r="G50" s="1">
        <v>146800</v>
      </c>
      <c r="H50" s="6">
        <v>1247</v>
      </c>
      <c r="I50" t="s">
        <v>15</v>
      </c>
      <c r="J50" t="s">
        <v>274</v>
      </c>
      <c r="K50" t="s">
        <v>275</v>
      </c>
      <c r="L50" t="s">
        <v>276</v>
      </c>
      <c r="M50" t="s">
        <v>41</v>
      </c>
    </row>
    <row r="51" spans="1:13" x14ac:dyDescent="0.3">
      <c r="A51">
        <v>55</v>
      </c>
      <c r="B51" s="2" t="s">
        <v>277</v>
      </c>
      <c r="C51" s="2">
        <f t="shared" si="0"/>
        <v>46082</v>
      </c>
      <c r="D51" t="s">
        <v>278</v>
      </c>
      <c r="E51" t="s">
        <v>146</v>
      </c>
      <c r="F51" s="6">
        <v>2071</v>
      </c>
      <c r="G51" s="1">
        <v>89700</v>
      </c>
      <c r="H51" s="6">
        <v>1248</v>
      </c>
      <c r="I51" t="s">
        <v>59</v>
      </c>
      <c r="J51" t="s">
        <v>279</v>
      </c>
      <c r="K51" t="s">
        <v>280</v>
      </c>
      <c r="L51" t="s">
        <v>281</v>
      </c>
      <c r="M51" t="s">
        <v>19</v>
      </c>
    </row>
    <row r="52" spans="1:13" x14ac:dyDescent="0.3">
      <c r="A52">
        <v>56</v>
      </c>
      <c r="B52" s="2" t="s">
        <v>282</v>
      </c>
      <c r="C52" s="2">
        <f t="shared" si="0"/>
        <v>46095</v>
      </c>
      <c r="D52" t="s">
        <v>283</v>
      </c>
      <c r="E52" t="s">
        <v>58</v>
      </c>
      <c r="F52" s="6">
        <v>2072</v>
      </c>
      <c r="G52" s="1">
        <v>104600</v>
      </c>
      <c r="H52" s="6">
        <v>1249</v>
      </c>
      <c r="I52" t="s">
        <v>45</v>
      </c>
      <c r="J52" t="s">
        <v>284</v>
      </c>
      <c r="K52" t="s">
        <v>285</v>
      </c>
      <c r="L52" t="s">
        <v>286</v>
      </c>
      <c r="M52" t="s">
        <v>55</v>
      </c>
    </row>
    <row r="53" spans="1:13" x14ac:dyDescent="0.3">
      <c r="A53">
        <v>57</v>
      </c>
      <c r="B53" s="2" t="s">
        <v>12</v>
      </c>
      <c r="C53" s="2" t="str">
        <f t="shared" si="0"/>
        <v/>
      </c>
      <c r="D53" t="s">
        <v>287</v>
      </c>
      <c r="E53" t="s">
        <v>157</v>
      </c>
      <c r="F53" s="6">
        <v>2073</v>
      </c>
      <c r="G53" s="1">
        <v>142000</v>
      </c>
      <c r="H53" s="6">
        <v>1250</v>
      </c>
      <c r="I53" t="s">
        <v>23</v>
      </c>
      <c r="J53" t="s">
        <v>288</v>
      </c>
      <c r="K53" t="s">
        <v>47</v>
      </c>
      <c r="L53" t="s">
        <v>148</v>
      </c>
      <c r="M53" t="s">
        <v>19</v>
      </c>
    </row>
    <row r="54" spans="1:13" x14ac:dyDescent="0.3">
      <c r="A54">
        <v>58</v>
      </c>
      <c r="B54" s="2" t="s">
        <v>289</v>
      </c>
      <c r="C54" s="2">
        <f t="shared" si="0"/>
        <v>46120</v>
      </c>
      <c r="D54" t="s">
        <v>290</v>
      </c>
      <c r="E54" t="s">
        <v>162</v>
      </c>
      <c r="F54" s="6">
        <v>2074</v>
      </c>
      <c r="G54" s="1">
        <v>78400</v>
      </c>
      <c r="H54" s="6">
        <v>1251</v>
      </c>
      <c r="I54" t="s">
        <v>37</v>
      </c>
      <c r="J54" t="s">
        <v>291</v>
      </c>
      <c r="K54" t="s">
        <v>91</v>
      </c>
      <c r="L54" t="s">
        <v>292</v>
      </c>
      <c r="M54" t="s">
        <v>293</v>
      </c>
    </row>
    <row r="55" spans="1:13" x14ac:dyDescent="0.3">
      <c r="A55">
        <v>59</v>
      </c>
      <c r="B55" s="2" t="s">
        <v>12</v>
      </c>
      <c r="C55" s="2" t="str">
        <f t="shared" si="0"/>
        <v/>
      </c>
      <c r="D55" t="s">
        <v>294</v>
      </c>
      <c r="E55" t="s">
        <v>117</v>
      </c>
      <c r="F55" s="6">
        <v>2075</v>
      </c>
      <c r="G55" s="1">
        <v>169000</v>
      </c>
      <c r="H55" s="6">
        <v>1252</v>
      </c>
      <c r="I55" t="s">
        <v>30</v>
      </c>
      <c r="J55" t="s">
        <v>295</v>
      </c>
      <c r="K55" t="s">
        <v>296</v>
      </c>
      <c r="L55" t="s">
        <v>297</v>
      </c>
      <c r="M55" t="s">
        <v>34</v>
      </c>
    </row>
    <row r="56" spans="1:13" x14ac:dyDescent="0.3">
      <c r="A56">
        <v>60</v>
      </c>
      <c r="B56" s="2" t="s">
        <v>298</v>
      </c>
      <c r="C56" s="2">
        <f t="shared" si="0"/>
        <v>46133</v>
      </c>
      <c r="D56" t="s">
        <v>299</v>
      </c>
      <c r="E56" t="s">
        <v>150</v>
      </c>
      <c r="F56" s="6">
        <v>2076</v>
      </c>
      <c r="G56" s="1">
        <v>268900</v>
      </c>
      <c r="H56" s="6">
        <v>1253</v>
      </c>
      <c r="I56" t="s">
        <v>15</v>
      </c>
      <c r="J56" t="s">
        <v>300</v>
      </c>
      <c r="K56" t="s">
        <v>47</v>
      </c>
      <c r="L56" t="s">
        <v>301</v>
      </c>
      <c r="M56" t="s">
        <v>19</v>
      </c>
    </row>
    <row r="57" spans="1:13" x14ac:dyDescent="0.3">
      <c r="A57">
        <v>61</v>
      </c>
      <c r="B57" s="2" t="s">
        <v>302</v>
      </c>
      <c r="C57" s="2">
        <f t="shared" si="0"/>
        <v>46141</v>
      </c>
      <c r="D57" t="s">
        <v>303</v>
      </c>
      <c r="E57" t="s">
        <v>51</v>
      </c>
      <c r="F57" s="6">
        <v>2077</v>
      </c>
      <c r="G57" s="1">
        <v>101300</v>
      </c>
      <c r="H57" s="6">
        <v>1254</v>
      </c>
      <c r="I57" t="s">
        <v>23</v>
      </c>
      <c r="J57" t="s">
        <v>304</v>
      </c>
      <c r="K57" t="s">
        <v>32</v>
      </c>
      <c r="L57" t="s">
        <v>305</v>
      </c>
      <c r="M57" t="s">
        <v>41</v>
      </c>
    </row>
    <row r="58" spans="1:13" x14ac:dyDescent="0.3">
      <c r="A58">
        <v>62</v>
      </c>
      <c r="B58" s="2" t="s">
        <v>306</v>
      </c>
      <c r="C58" s="2">
        <f t="shared" si="0"/>
        <v>46147</v>
      </c>
      <c r="D58" t="s">
        <v>307</v>
      </c>
      <c r="E58" t="s">
        <v>36</v>
      </c>
      <c r="F58" s="6">
        <v>2078</v>
      </c>
      <c r="G58" s="1">
        <v>66750</v>
      </c>
      <c r="H58" s="6">
        <v>1255</v>
      </c>
      <c r="I58" t="s">
        <v>37</v>
      </c>
      <c r="J58" t="s">
        <v>308</v>
      </c>
      <c r="K58" t="s">
        <v>214</v>
      </c>
      <c r="L58" t="s">
        <v>309</v>
      </c>
      <c r="M58" t="s">
        <v>19</v>
      </c>
    </row>
    <row r="59" spans="1:13" x14ac:dyDescent="0.3">
      <c r="A59">
        <v>63</v>
      </c>
      <c r="B59" s="2" t="s">
        <v>310</v>
      </c>
      <c r="C59" s="2">
        <f t="shared" si="0"/>
        <v>46156</v>
      </c>
      <c r="D59" t="s">
        <v>311</v>
      </c>
      <c r="E59" t="s">
        <v>123</v>
      </c>
      <c r="F59" s="6">
        <v>2079</v>
      </c>
      <c r="G59" s="1">
        <v>127900</v>
      </c>
      <c r="H59" s="6">
        <v>1256</v>
      </c>
      <c r="I59" t="s">
        <v>59</v>
      </c>
      <c r="J59" t="s">
        <v>312</v>
      </c>
      <c r="K59" t="s">
        <v>142</v>
      </c>
      <c r="L59" t="s">
        <v>313</v>
      </c>
      <c r="M59" t="s">
        <v>34</v>
      </c>
    </row>
    <row r="60" spans="1:13" x14ac:dyDescent="0.3">
      <c r="A60">
        <v>64</v>
      </c>
      <c r="B60" s="2" t="s">
        <v>314</v>
      </c>
      <c r="C60" s="2">
        <f t="shared" si="0"/>
        <v>46165</v>
      </c>
      <c r="D60" t="s">
        <v>315</v>
      </c>
      <c r="E60" t="s">
        <v>100</v>
      </c>
      <c r="F60" s="6">
        <v>2080</v>
      </c>
      <c r="G60" s="1">
        <v>200000</v>
      </c>
      <c r="H60" s="6">
        <v>1257</v>
      </c>
      <c r="I60" t="s">
        <v>23</v>
      </c>
      <c r="J60" t="s">
        <v>316</v>
      </c>
      <c r="K60" t="s">
        <v>169</v>
      </c>
      <c r="L60" t="s">
        <v>317</v>
      </c>
      <c r="M60" t="s">
        <v>19</v>
      </c>
    </row>
    <row r="61" spans="1:13" x14ac:dyDescent="0.3">
      <c r="A61">
        <v>65</v>
      </c>
      <c r="B61" s="2" t="s">
        <v>318</v>
      </c>
      <c r="C61" s="2">
        <f t="shared" si="0"/>
        <v>46175</v>
      </c>
      <c r="D61" t="s">
        <v>319</v>
      </c>
      <c r="E61" t="s">
        <v>107</v>
      </c>
      <c r="F61" s="6">
        <v>2081</v>
      </c>
      <c r="G61" s="1">
        <v>132000</v>
      </c>
      <c r="H61" s="6">
        <v>1258</v>
      </c>
      <c r="I61" t="s">
        <v>101</v>
      </c>
      <c r="J61" t="s">
        <v>320</v>
      </c>
      <c r="K61" t="s">
        <v>321</v>
      </c>
      <c r="L61" t="s">
        <v>322</v>
      </c>
      <c r="M61" t="s">
        <v>191</v>
      </c>
    </row>
    <row r="62" spans="1:13" x14ac:dyDescent="0.3">
      <c r="A62">
        <v>66</v>
      </c>
      <c r="B62" s="2" t="s">
        <v>323</v>
      </c>
      <c r="C62" s="2">
        <f t="shared" si="0"/>
        <v>46188</v>
      </c>
      <c r="D62" t="s">
        <v>324</v>
      </c>
      <c r="E62" t="s">
        <v>167</v>
      </c>
      <c r="F62" s="6">
        <v>2082</v>
      </c>
      <c r="G62" s="1">
        <v>176400</v>
      </c>
      <c r="H62" s="6">
        <v>1259</v>
      </c>
      <c r="I62" t="s">
        <v>15</v>
      </c>
      <c r="J62" t="s">
        <v>325</v>
      </c>
      <c r="K62" t="s">
        <v>32</v>
      </c>
      <c r="L62" t="s">
        <v>326</v>
      </c>
      <c r="M62" t="s">
        <v>19</v>
      </c>
    </row>
    <row r="63" spans="1:13" x14ac:dyDescent="0.3">
      <c r="A63">
        <v>67</v>
      </c>
      <c r="B63" s="2" t="s">
        <v>12</v>
      </c>
      <c r="C63" s="2" t="str">
        <f t="shared" si="0"/>
        <v/>
      </c>
      <c r="D63" t="s">
        <v>327</v>
      </c>
      <c r="E63" t="s">
        <v>179</v>
      </c>
      <c r="F63" s="6">
        <v>2083</v>
      </c>
      <c r="G63" s="1">
        <v>108500</v>
      </c>
      <c r="H63" s="6">
        <v>1260</v>
      </c>
      <c r="I63" t="s">
        <v>45</v>
      </c>
      <c r="J63" t="s">
        <v>328</v>
      </c>
      <c r="K63" t="s">
        <v>329</v>
      </c>
      <c r="L63" t="s">
        <v>330</v>
      </c>
      <c r="M63" t="s">
        <v>55</v>
      </c>
    </row>
    <row r="64" spans="1:13" x14ac:dyDescent="0.3">
      <c r="A64">
        <v>68</v>
      </c>
      <c r="B64" s="2" t="s">
        <v>331</v>
      </c>
      <c r="C64" s="2">
        <f t="shared" si="0"/>
        <v>46210</v>
      </c>
      <c r="D64" t="s">
        <v>332</v>
      </c>
      <c r="E64" t="s">
        <v>113</v>
      </c>
      <c r="F64" s="6">
        <v>2084</v>
      </c>
      <c r="G64" s="1">
        <v>59000</v>
      </c>
      <c r="H64" s="6">
        <v>1261</v>
      </c>
      <c r="I64" t="s">
        <v>30</v>
      </c>
      <c r="J64" t="s">
        <v>333</v>
      </c>
      <c r="K64" t="s">
        <v>125</v>
      </c>
      <c r="L64" t="s">
        <v>334</v>
      </c>
      <c r="M64" t="s">
        <v>104</v>
      </c>
    </row>
    <row r="65" spans="1:13" x14ac:dyDescent="0.3">
      <c r="A65">
        <v>69</v>
      </c>
      <c r="B65" s="2" t="s">
        <v>335</v>
      </c>
      <c r="C65" s="2">
        <f t="shared" si="0"/>
        <v>46223</v>
      </c>
      <c r="D65" t="s">
        <v>336</v>
      </c>
      <c r="E65" t="s">
        <v>189</v>
      </c>
      <c r="F65" s="6">
        <v>2085</v>
      </c>
      <c r="G65" s="1">
        <v>218000</v>
      </c>
      <c r="H65" s="6">
        <v>1262</v>
      </c>
      <c r="I65" t="s">
        <v>23</v>
      </c>
      <c r="J65" t="s">
        <v>337</v>
      </c>
      <c r="K65" t="s">
        <v>219</v>
      </c>
      <c r="L65" t="s">
        <v>338</v>
      </c>
      <c r="M65" t="s">
        <v>41</v>
      </c>
    </row>
    <row r="66" spans="1:13" x14ac:dyDescent="0.3">
      <c r="A66">
        <v>70</v>
      </c>
      <c r="B66" s="2" t="s">
        <v>12</v>
      </c>
      <c r="C66" s="2" t="str">
        <f t="shared" si="0"/>
        <v/>
      </c>
      <c r="D66" t="s">
        <v>339</v>
      </c>
      <c r="E66" t="s">
        <v>128</v>
      </c>
      <c r="F66" s="6">
        <v>2086</v>
      </c>
      <c r="G66" s="1">
        <v>99950</v>
      </c>
      <c r="H66" s="6">
        <v>1263</v>
      </c>
      <c r="I66" t="s">
        <v>71</v>
      </c>
      <c r="J66" t="s">
        <v>340</v>
      </c>
      <c r="K66" t="s">
        <v>329</v>
      </c>
      <c r="L66" t="s">
        <v>341</v>
      </c>
      <c r="M66" t="s">
        <v>19</v>
      </c>
    </row>
    <row r="67" spans="1:13" x14ac:dyDescent="0.3">
      <c r="A67">
        <v>71</v>
      </c>
      <c r="B67" s="2" t="s">
        <v>289</v>
      </c>
      <c r="C67" s="2">
        <f t="shared" si="0"/>
        <v>46120</v>
      </c>
      <c r="D67" t="s">
        <v>342</v>
      </c>
      <c r="E67" t="s">
        <v>173</v>
      </c>
      <c r="F67" s="6">
        <v>2087</v>
      </c>
      <c r="G67" s="1">
        <v>121750</v>
      </c>
      <c r="H67" s="6">
        <v>1264</v>
      </c>
      <c r="I67" t="s">
        <v>15</v>
      </c>
      <c r="J67" t="s">
        <v>343</v>
      </c>
      <c r="K67" t="s">
        <v>80</v>
      </c>
      <c r="L67" t="s">
        <v>344</v>
      </c>
      <c r="M67" t="s">
        <v>19</v>
      </c>
    </row>
    <row r="68" spans="1:13" x14ac:dyDescent="0.3">
      <c r="A68">
        <v>72</v>
      </c>
      <c r="B68" s="2" t="s">
        <v>345</v>
      </c>
      <c r="C68" s="2">
        <f t="shared" ref="C68:C101" si="1">IF(B68="INVALID","",VALUE(B68))</f>
        <v>46252</v>
      </c>
      <c r="D68" t="s">
        <v>346</v>
      </c>
      <c r="E68" t="s">
        <v>347</v>
      </c>
      <c r="F68" s="6">
        <v>2088</v>
      </c>
      <c r="G68" s="1">
        <v>91500</v>
      </c>
      <c r="H68" s="6">
        <v>1265</v>
      </c>
      <c r="I68" t="s">
        <v>59</v>
      </c>
      <c r="J68" t="s">
        <v>348</v>
      </c>
      <c r="K68" t="s">
        <v>91</v>
      </c>
      <c r="L68" t="s">
        <v>349</v>
      </c>
      <c r="M68" t="s">
        <v>75</v>
      </c>
    </row>
    <row r="69" spans="1:13" x14ac:dyDescent="0.3">
      <c r="A69">
        <v>73</v>
      </c>
      <c r="B69" s="2" t="s">
        <v>350</v>
      </c>
      <c r="C69" s="2">
        <f t="shared" si="1"/>
        <v>46265</v>
      </c>
      <c r="D69" t="s">
        <v>351</v>
      </c>
      <c r="E69" t="s">
        <v>95</v>
      </c>
      <c r="F69" s="6">
        <v>2089</v>
      </c>
      <c r="G69" s="1">
        <v>134000</v>
      </c>
      <c r="H69" s="6">
        <v>1266</v>
      </c>
      <c r="I69" t="s">
        <v>23</v>
      </c>
      <c r="J69" t="s">
        <v>352</v>
      </c>
      <c r="K69" t="s">
        <v>61</v>
      </c>
      <c r="L69" t="s">
        <v>87</v>
      </c>
      <c r="M69" t="s">
        <v>34</v>
      </c>
    </row>
    <row r="70" spans="1:13" x14ac:dyDescent="0.3">
      <c r="A70">
        <v>74</v>
      </c>
      <c r="B70" s="2" t="s">
        <v>353</v>
      </c>
      <c r="C70" s="2">
        <f t="shared" si="1"/>
        <v>46274</v>
      </c>
      <c r="D70" t="s">
        <v>354</v>
      </c>
      <c r="E70" t="s">
        <v>78</v>
      </c>
      <c r="F70" s="6">
        <v>2090</v>
      </c>
      <c r="G70" s="1">
        <v>96800</v>
      </c>
      <c r="H70" s="6">
        <v>1267</v>
      </c>
      <c r="I70" t="s">
        <v>85</v>
      </c>
      <c r="J70" t="s">
        <v>355</v>
      </c>
      <c r="K70" t="s">
        <v>125</v>
      </c>
      <c r="L70" t="s">
        <v>356</v>
      </c>
      <c r="M70" t="s">
        <v>19</v>
      </c>
    </row>
    <row r="71" spans="1:13" x14ac:dyDescent="0.3">
      <c r="A71">
        <v>75</v>
      </c>
      <c r="B71" s="2" t="s">
        <v>357</v>
      </c>
      <c r="C71" s="2">
        <f t="shared" si="1"/>
        <v>46282</v>
      </c>
      <c r="D71" t="s">
        <v>358</v>
      </c>
      <c r="E71" t="s">
        <v>44</v>
      </c>
      <c r="F71" s="6">
        <v>2091</v>
      </c>
      <c r="G71" s="1">
        <v>131600</v>
      </c>
      <c r="H71" s="6">
        <v>1268</v>
      </c>
      <c r="I71" t="s">
        <v>23</v>
      </c>
      <c r="J71" t="s">
        <v>359</v>
      </c>
      <c r="K71" t="s">
        <v>32</v>
      </c>
      <c r="L71" t="s">
        <v>97</v>
      </c>
      <c r="M71" t="s">
        <v>67</v>
      </c>
    </row>
    <row r="72" spans="1:13" x14ac:dyDescent="0.3">
      <c r="A72">
        <v>76</v>
      </c>
      <c r="B72" s="2" t="s">
        <v>360</v>
      </c>
      <c r="C72" s="2">
        <f t="shared" si="1"/>
        <v>46293</v>
      </c>
      <c r="D72" t="s">
        <v>361</v>
      </c>
      <c r="E72" t="s">
        <v>64</v>
      </c>
      <c r="F72" s="6">
        <v>2092</v>
      </c>
      <c r="G72" s="1">
        <v>94300</v>
      </c>
      <c r="H72" s="6">
        <v>1269</v>
      </c>
      <c r="I72" t="s">
        <v>37</v>
      </c>
      <c r="J72" t="s">
        <v>362</v>
      </c>
      <c r="K72" t="s">
        <v>208</v>
      </c>
      <c r="L72" t="s">
        <v>103</v>
      </c>
      <c r="M72" t="s">
        <v>19</v>
      </c>
    </row>
    <row r="73" spans="1:13" x14ac:dyDescent="0.3">
      <c r="A73">
        <v>77</v>
      </c>
      <c r="B73" s="2" t="s">
        <v>363</v>
      </c>
      <c r="C73" s="2">
        <f t="shared" si="1"/>
        <v>46301</v>
      </c>
      <c r="D73" t="s">
        <v>364</v>
      </c>
      <c r="E73" t="s">
        <v>22</v>
      </c>
      <c r="F73" s="6">
        <v>2093</v>
      </c>
      <c r="G73" s="1">
        <v>242000</v>
      </c>
      <c r="H73" s="6">
        <v>1270</v>
      </c>
      <c r="I73" t="s">
        <v>101</v>
      </c>
      <c r="J73" t="s">
        <v>365</v>
      </c>
      <c r="K73" t="s">
        <v>32</v>
      </c>
      <c r="L73" t="s">
        <v>366</v>
      </c>
      <c r="M73" t="s">
        <v>154</v>
      </c>
    </row>
    <row r="74" spans="1:13" x14ac:dyDescent="0.3">
      <c r="A74">
        <v>78</v>
      </c>
      <c r="B74" s="2" t="s">
        <v>367</v>
      </c>
      <c r="C74" s="2">
        <f t="shared" si="1"/>
        <v>46311</v>
      </c>
      <c r="D74" t="s">
        <v>368</v>
      </c>
      <c r="E74" t="s">
        <v>369</v>
      </c>
      <c r="F74" s="6">
        <v>2094</v>
      </c>
      <c r="G74" s="1">
        <v>82750</v>
      </c>
      <c r="H74" s="6">
        <v>1271</v>
      </c>
      <c r="I74" t="s">
        <v>15</v>
      </c>
      <c r="J74" t="s">
        <v>370</v>
      </c>
      <c r="K74" t="s">
        <v>169</v>
      </c>
      <c r="L74" t="s">
        <v>115</v>
      </c>
      <c r="M74" t="s">
        <v>55</v>
      </c>
    </row>
    <row r="75" spans="1:13" x14ac:dyDescent="0.3">
      <c r="A75">
        <v>79</v>
      </c>
      <c r="B75" s="2" t="s">
        <v>371</v>
      </c>
      <c r="C75" s="2">
        <f t="shared" si="1"/>
        <v>46324</v>
      </c>
      <c r="D75" t="s">
        <v>372</v>
      </c>
      <c r="E75" t="s">
        <v>146</v>
      </c>
      <c r="F75" s="6">
        <v>2095</v>
      </c>
      <c r="G75" s="1">
        <v>91300</v>
      </c>
      <c r="H75" s="6">
        <v>1272</v>
      </c>
      <c r="I75" t="s">
        <v>23</v>
      </c>
      <c r="J75" t="s">
        <v>373</v>
      </c>
      <c r="K75" t="s">
        <v>47</v>
      </c>
      <c r="L75" t="s">
        <v>120</v>
      </c>
      <c r="M75" t="s">
        <v>19</v>
      </c>
    </row>
    <row r="76" spans="1:13" x14ac:dyDescent="0.3">
      <c r="A76">
        <v>80</v>
      </c>
      <c r="B76" s="2" t="s">
        <v>374</v>
      </c>
      <c r="C76" s="2">
        <f t="shared" si="1"/>
        <v>46329</v>
      </c>
      <c r="D76" t="s">
        <v>375</v>
      </c>
      <c r="E76" t="s">
        <v>140</v>
      </c>
      <c r="F76" s="6">
        <v>2096</v>
      </c>
      <c r="G76" s="1">
        <v>79900</v>
      </c>
      <c r="H76" s="6">
        <v>1273</v>
      </c>
      <c r="I76" t="s">
        <v>30</v>
      </c>
      <c r="J76" t="s">
        <v>376</v>
      </c>
      <c r="K76" t="s">
        <v>32</v>
      </c>
      <c r="L76" t="s">
        <v>126</v>
      </c>
      <c r="M76" t="s">
        <v>41</v>
      </c>
    </row>
    <row r="77" spans="1:13" x14ac:dyDescent="0.3">
      <c r="A77">
        <v>81</v>
      </c>
      <c r="B77" s="2" t="s">
        <v>12</v>
      </c>
      <c r="C77" s="2" t="str">
        <f t="shared" si="1"/>
        <v/>
      </c>
      <c r="D77" t="s">
        <v>377</v>
      </c>
      <c r="E77" t="s">
        <v>29</v>
      </c>
      <c r="F77" s="6">
        <v>2097</v>
      </c>
      <c r="G77" s="1">
        <v>111000</v>
      </c>
      <c r="H77" s="6">
        <v>1274</v>
      </c>
      <c r="I77" t="s">
        <v>45</v>
      </c>
      <c r="J77" t="s">
        <v>378</v>
      </c>
      <c r="K77" t="s">
        <v>32</v>
      </c>
      <c r="L77" t="s">
        <v>131</v>
      </c>
      <c r="M77" t="s">
        <v>34</v>
      </c>
    </row>
    <row r="78" spans="1:13" x14ac:dyDescent="0.3">
      <c r="A78">
        <v>82</v>
      </c>
      <c r="B78" s="2" t="s">
        <v>379</v>
      </c>
      <c r="C78" s="2">
        <f t="shared" si="1"/>
        <v>46367</v>
      </c>
      <c r="D78" t="s">
        <v>380</v>
      </c>
      <c r="E78" t="s">
        <v>134</v>
      </c>
      <c r="F78" s="6">
        <v>2098</v>
      </c>
      <c r="G78" s="1">
        <v>156500</v>
      </c>
      <c r="H78" s="6">
        <v>1275</v>
      </c>
      <c r="I78" t="s">
        <v>37</v>
      </c>
      <c r="J78" t="s">
        <v>381</v>
      </c>
      <c r="K78" t="s">
        <v>236</v>
      </c>
      <c r="L78" t="s">
        <v>137</v>
      </c>
      <c r="M78" t="s">
        <v>19</v>
      </c>
    </row>
    <row r="79" spans="1:13" x14ac:dyDescent="0.3">
      <c r="A79">
        <v>83</v>
      </c>
      <c r="B79" s="2" t="s">
        <v>382</v>
      </c>
      <c r="C79" s="2">
        <f t="shared" si="1"/>
        <v>46380</v>
      </c>
      <c r="D79" t="s">
        <v>383</v>
      </c>
      <c r="E79" t="s">
        <v>206</v>
      </c>
      <c r="F79" s="6">
        <v>2099</v>
      </c>
      <c r="G79" s="1">
        <v>119900</v>
      </c>
      <c r="H79" s="6">
        <v>1276</v>
      </c>
      <c r="I79" t="s">
        <v>59</v>
      </c>
      <c r="J79" t="s">
        <v>384</v>
      </c>
      <c r="K79" t="s">
        <v>80</v>
      </c>
      <c r="L79" t="s">
        <v>143</v>
      </c>
      <c r="M79" t="s">
        <v>41</v>
      </c>
    </row>
    <row r="80" spans="1:13" x14ac:dyDescent="0.3">
      <c r="A80">
        <v>84</v>
      </c>
      <c r="B80" s="2" t="s">
        <v>12</v>
      </c>
      <c r="C80" s="2" t="str">
        <f t="shared" si="1"/>
        <v/>
      </c>
      <c r="D80" t="s">
        <v>385</v>
      </c>
      <c r="E80" t="s">
        <v>184</v>
      </c>
      <c r="F80" s="6">
        <v>2100</v>
      </c>
      <c r="G80" s="1">
        <v>73200</v>
      </c>
      <c r="H80" s="6">
        <v>1277</v>
      </c>
      <c r="I80" t="s">
        <v>23</v>
      </c>
      <c r="J80" t="s">
        <v>386</v>
      </c>
      <c r="K80" t="s">
        <v>236</v>
      </c>
      <c r="L80" t="s">
        <v>148</v>
      </c>
      <c r="M80" t="s">
        <v>19</v>
      </c>
    </row>
    <row r="81" spans="1:13" x14ac:dyDescent="0.3">
      <c r="A81">
        <v>85</v>
      </c>
      <c r="B81" s="2" t="s">
        <v>387</v>
      </c>
      <c r="C81" s="2">
        <f t="shared" si="1"/>
        <v>46384</v>
      </c>
      <c r="D81" t="s">
        <v>388</v>
      </c>
      <c r="E81" t="s">
        <v>89</v>
      </c>
      <c r="F81" s="6">
        <v>2101</v>
      </c>
      <c r="G81" s="1">
        <v>224000</v>
      </c>
      <c r="H81" s="6">
        <v>1278</v>
      </c>
      <c r="I81" t="s">
        <v>23</v>
      </c>
      <c r="J81" t="s">
        <v>389</v>
      </c>
      <c r="K81" t="s">
        <v>390</v>
      </c>
      <c r="L81" t="s">
        <v>153</v>
      </c>
      <c r="M81" t="s">
        <v>104</v>
      </c>
    </row>
    <row r="82" spans="1:13" x14ac:dyDescent="0.3">
      <c r="A82">
        <v>86</v>
      </c>
      <c r="B82" s="2" t="s">
        <v>391</v>
      </c>
      <c r="C82" s="2">
        <f t="shared" si="1"/>
        <v>46402</v>
      </c>
      <c r="D82" t="s">
        <v>392</v>
      </c>
      <c r="E82" t="s">
        <v>193</v>
      </c>
      <c r="F82" s="6">
        <v>2102</v>
      </c>
      <c r="G82" s="1">
        <v>126900</v>
      </c>
      <c r="H82" s="6">
        <v>1279</v>
      </c>
      <c r="I82" t="s">
        <v>15</v>
      </c>
      <c r="J82" t="s">
        <v>114</v>
      </c>
      <c r="K82" t="s">
        <v>53</v>
      </c>
      <c r="L82" t="s">
        <v>393</v>
      </c>
      <c r="M82" t="s">
        <v>19</v>
      </c>
    </row>
    <row r="83" spans="1:13" x14ac:dyDescent="0.3">
      <c r="A83">
        <v>87</v>
      </c>
      <c r="B83" s="2" t="s">
        <v>394</v>
      </c>
      <c r="C83" s="2">
        <f t="shared" si="1"/>
        <v>46416</v>
      </c>
      <c r="D83" t="s">
        <v>395</v>
      </c>
      <c r="E83" t="s">
        <v>162</v>
      </c>
      <c r="F83" s="6">
        <v>2103</v>
      </c>
      <c r="G83" s="1">
        <v>84500</v>
      </c>
      <c r="H83" s="6">
        <v>1280</v>
      </c>
      <c r="I83" t="s">
        <v>45</v>
      </c>
      <c r="J83" t="s">
        <v>96</v>
      </c>
      <c r="K83" t="s">
        <v>47</v>
      </c>
      <c r="L83" t="s">
        <v>396</v>
      </c>
      <c r="M83" t="s">
        <v>41</v>
      </c>
    </row>
    <row r="84" spans="1:13" x14ac:dyDescent="0.3">
      <c r="A84">
        <v>88</v>
      </c>
      <c r="B84" s="2" t="s">
        <v>397</v>
      </c>
      <c r="C84" s="2">
        <f t="shared" si="1"/>
        <v>46429</v>
      </c>
      <c r="D84" t="s">
        <v>398</v>
      </c>
      <c r="E84" t="s">
        <v>36</v>
      </c>
      <c r="F84" s="6">
        <v>2104</v>
      </c>
      <c r="G84" s="1">
        <v>69800</v>
      </c>
      <c r="H84" s="6">
        <v>1281</v>
      </c>
      <c r="I84" t="s">
        <v>30</v>
      </c>
      <c r="J84" t="s">
        <v>194</v>
      </c>
      <c r="K84" t="s">
        <v>53</v>
      </c>
      <c r="L84" t="s">
        <v>33</v>
      </c>
      <c r="M84" t="s">
        <v>19</v>
      </c>
    </row>
    <row r="85" spans="1:13" x14ac:dyDescent="0.3">
      <c r="A85">
        <v>89</v>
      </c>
      <c r="B85" s="2" t="s">
        <v>12</v>
      </c>
      <c r="C85" s="2" t="str">
        <f t="shared" si="1"/>
        <v/>
      </c>
      <c r="D85" t="s">
        <v>399</v>
      </c>
      <c r="E85" t="s">
        <v>44</v>
      </c>
      <c r="F85" s="6">
        <v>2105</v>
      </c>
      <c r="G85" s="1">
        <v>132700</v>
      </c>
      <c r="H85" s="6">
        <v>1282</v>
      </c>
      <c r="I85" t="s">
        <v>23</v>
      </c>
      <c r="J85" t="s">
        <v>38</v>
      </c>
      <c r="K85" t="s">
        <v>39</v>
      </c>
      <c r="L85" t="s">
        <v>400</v>
      </c>
      <c r="M85" t="s">
        <v>34</v>
      </c>
    </row>
    <row r="86" spans="1:13" x14ac:dyDescent="0.3">
      <c r="A86">
        <v>90</v>
      </c>
      <c r="B86" s="2" t="s">
        <v>401</v>
      </c>
      <c r="C86" s="2">
        <f t="shared" si="1"/>
        <v>46451</v>
      </c>
      <c r="D86" t="s">
        <v>402</v>
      </c>
      <c r="E86" t="s">
        <v>140</v>
      </c>
      <c r="F86" s="6">
        <v>2106</v>
      </c>
      <c r="G86" s="1">
        <v>81000</v>
      </c>
      <c r="H86" s="6">
        <v>1283</v>
      </c>
      <c r="I86" t="s">
        <v>37</v>
      </c>
      <c r="J86" t="s">
        <v>31</v>
      </c>
      <c r="K86" t="s">
        <v>32</v>
      </c>
      <c r="L86" t="s">
        <v>48</v>
      </c>
      <c r="M86" t="s">
        <v>19</v>
      </c>
    </row>
    <row r="87" spans="1:13" x14ac:dyDescent="0.3">
      <c r="A87">
        <v>91</v>
      </c>
      <c r="B87" s="2" t="s">
        <v>403</v>
      </c>
      <c r="C87" s="2">
        <f t="shared" si="1"/>
        <v>46464</v>
      </c>
      <c r="D87" t="s">
        <v>404</v>
      </c>
      <c r="E87" t="s">
        <v>14</v>
      </c>
      <c r="F87" s="6">
        <v>2107</v>
      </c>
      <c r="G87" s="1">
        <v>78900</v>
      </c>
      <c r="H87" s="6">
        <v>1284</v>
      </c>
      <c r="I87" t="s">
        <v>71</v>
      </c>
      <c r="J87" t="s">
        <v>24</v>
      </c>
      <c r="K87" t="s">
        <v>25</v>
      </c>
      <c r="L87" t="s">
        <v>220</v>
      </c>
      <c r="M87" t="s">
        <v>55</v>
      </c>
    </row>
    <row r="88" spans="1:13" x14ac:dyDescent="0.3">
      <c r="A88">
        <v>92</v>
      </c>
      <c r="B88" s="2" t="s">
        <v>405</v>
      </c>
      <c r="C88" s="2">
        <f t="shared" si="1"/>
        <v>46479</v>
      </c>
      <c r="D88" t="s">
        <v>406</v>
      </c>
      <c r="E88" t="s">
        <v>22</v>
      </c>
      <c r="F88" s="6">
        <v>2108</v>
      </c>
      <c r="G88" s="1">
        <v>249300</v>
      </c>
      <c r="H88" s="6">
        <v>1285</v>
      </c>
      <c r="I88" t="s">
        <v>23</v>
      </c>
      <c r="J88" t="s">
        <v>16</v>
      </c>
      <c r="K88" t="s">
        <v>17</v>
      </c>
      <c r="L88" t="s">
        <v>407</v>
      </c>
      <c r="M88" t="s">
        <v>104</v>
      </c>
    </row>
    <row r="89" spans="1:13" x14ac:dyDescent="0.3">
      <c r="A89">
        <v>93</v>
      </c>
      <c r="B89" s="2" t="s">
        <v>12</v>
      </c>
      <c r="C89" s="2" t="str">
        <f t="shared" si="1"/>
        <v/>
      </c>
      <c r="D89" t="s">
        <v>408</v>
      </c>
      <c r="E89" t="s">
        <v>29</v>
      </c>
      <c r="F89" s="6">
        <v>2109</v>
      </c>
      <c r="G89" s="1">
        <v>108750</v>
      </c>
      <c r="H89" s="6">
        <v>1286</v>
      </c>
      <c r="I89" t="s">
        <v>23</v>
      </c>
      <c r="J89" t="s">
        <v>79</v>
      </c>
      <c r="K89" t="s">
        <v>80</v>
      </c>
      <c r="L89" t="s">
        <v>229</v>
      </c>
      <c r="M89" t="s">
        <v>67</v>
      </c>
    </row>
    <row r="90" spans="1:13" x14ac:dyDescent="0.3">
      <c r="A90">
        <v>94</v>
      </c>
      <c r="B90" s="2" t="s">
        <v>12</v>
      </c>
      <c r="C90" s="2" t="str">
        <f t="shared" si="1"/>
        <v/>
      </c>
      <c r="D90" t="s">
        <v>409</v>
      </c>
      <c r="E90" t="s">
        <v>146</v>
      </c>
      <c r="F90" s="6">
        <v>2110</v>
      </c>
      <c r="G90" s="1">
        <v>92600</v>
      </c>
      <c r="H90" s="6">
        <v>1287</v>
      </c>
      <c r="I90" t="s">
        <v>30</v>
      </c>
      <c r="J90" t="s">
        <v>72</v>
      </c>
      <c r="K90" t="s">
        <v>73</v>
      </c>
      <c r="L90" t="s">
        <v>232</v>
      </c>
      <c r="M90" t="s">
        <v>75</v>
      </c>
    </row>
    <row r="91" spans="1:13" x14ac:dyDescent="0.3">
      <c r="A91">
        <v>95</v>
      </c>
      <c r="B91" s="2" t="s">
        <v>410</v>
      </c>
      <c r="C91" s="2">
        <f t="shared" si="1"/>
        <v>46519</v>
      </c>
      <c r="D91" t="s">
        <v>411</v>
      </c>
      <c r="E91" t="s">
        <v>84</v>
      </c>
      <c r="F91" s="6">
        <v>2111</v>
      </c>
      <c r="G91" s="1">
        <v>164000</v>
      </c>
      <c r="H91" s="6">
        <v>1288</v>
      </c>
      <c r="I91" t="s">
        <v>85</v>
      </c>
      <c r="J91" t="s">
        <v>86</v>
      </c>
      <c r="K91" t="s">
        <v>32</v>
      </c>
      <c r="L91" t="s">
        <v>237</v>
      </c>
      <c r="M91" t="s">
        <v>34</v>
      </c>
    </row>
    <row r="92" spans="1:13" x14ac:dyDescent="0.3">
      <c r="A92">
        <v>96</v>
      </c>
      <c r="B92" s="2" t="s">
        <v>412</v>
      </c>
      <c r="C92" s="2">
        <f t="shared" si="1"/>
        <v>46534</v>
      </c>
      <c r="D92" t="s">
        <v>413</v>
      </c>
      <c r="E92" t="s">
        <v>212</v>
      </c>
      <c r="F92" s="6">
        <v>2112</v>
      </c>
      <c r="G92" s="1">
        <v>119000</v>
      </c>
      <c r="H92" s="6">
        <v>1289</v>
      </c>
      <c r="I92" t="s">
        <v>15</v>
      </c>
      <c r="J92" t="s">
        <v>414</v>
      </c>
      <c r="K92" t="s">
        <v>47</v>
      </c>
      <c r="L92" t="s">
        <v>242</v>
      </c>
      <c r="M92" t="s">
        <v>19</v>
      </c>
    </row>
    <row r="93" spans="1:13" x14ac:dyDescent="0.3">
      <c r="A93">
        <v>97</v>
      </c>
      <c r="B93" s="2" t="s">
        <v>12</v>
      </c>
      <c r="C93" s="2" t="str">
        <f t="shared" si="1"/>
        <v/>
      </c>
      <c r="D93" t="s">
        <v>415</v>
      </c>
      <c r="E93" t="s">
        <v>89</v>
      </c>
      <c r="F93" s="6">
        <v>2113</v>
      </c>
      <c r="G93" s="1">
        <v>232500</v>
      </c>
      <c r="H93" s="6">
        <v>1290</v>
      </c>
      <c r="I93" t="s">
        <v>23</v>
      </c>
      <c r="J93" t="s">
        <v>90</v>
      </c>
      <c r="K93" t="s">
        <v>91</v>
      </c>
      <c r="L93" t="s">
        <v>246</v>
      </c>
      <c r="M93" t="s">
        <v>41</v>
      </c>
    </row>
    <row r="94" spans="1:13" x14ac:dyDescent="0.3">
      <c r="A94">
        <v>98</v>
      </c>
      <c r="B94" s="2" t="s">
        <v>416</v>
      </c>
      <c r="C94" s="2">
        <f t="shared" si="1"/>
        <v>46556</v>
      </c>
      <c r="D94" t="s">
        <v>417</v>
      </c>
      <c r="E94" t="s">
        <v>64</v>
      </c>
      <c r="F94" s="6">
        <v>2114</v>
      </c>
      <c r="G94" s="1">
        <v>96800</v>
      </c>
      <c r="H94" s="6">
        <v>1291</v>
      </c>
      <c r="I94" t="s">
        <v>59</v>
      </c>
      <c r="J94" t="s">
        <v>124</v>
      </c>
      <c r="K94" t="s">
        <v>125</v>
      </c>
      <c r="L94" t="s">
        <v>250</v>
      </c>
      <c r="M94" t="s">
        <v>19</v>
      </c>
    </row>
    <row r="95" spans="1:13" x14ac:dyDescent="0.3">
      <c r="A95">
        <v>99</v>
      </c>
      <c r="B95" s="2" t="s">
        <v>418</v>
      </c>
      <c r="C95" s="2">
        <f t="shared" si="1"/>
        <v>46571</v>
      </c>
      <c r="D95" t="s">
        <v>419</v>
      </c>
      <c r="E95" t="s">
        <v>184</v>
      </c>
      <c r="F95" s="6">
        <v>2115</v>
      </c>
      <c r="G95" s="1">
        <v>74400</v>
      </c>
      <c r="H95" s="6">
        <v>1292</v>
      </c>
      <c r="I95" t="s">
        <v>37</v>
      </c>
      <c r="J95" t="s">
        <v>253</v>
      </c>
      <c r="K95" t="s">
        <v>80</v>
      </c>
      <c r="L95" t="s">
        <v>254</v>
      </c>
      <c r="M95" t="s">
        <v>154</v>
      </c>
    </row>
    <row r="96" spans="1:13" x14ac:dyDescent="0.3">
      <c r="A96">
        <v>100</v>
      </c>
      <c r="B96" s="2" t="s">
        <v>420</v>
      </c>
      <c r="C96" s="2">
        <f t="shared" si="1"/>
        <v>46590</v>
      </c>
      <c r="D96" t="s">
        <v>256</v>
      </c>
      <c r="E96" t="s">
        <v>157</v>
      </c>
      <c r="F96" s="6">
        <v>2116</v>
      </c>
      <c r="G96" s="1">
        <v>148500</v>
      </c>
      <c r="H96" s="6">
        <v>1293</v>
      </c>
      <c r="I96" t="s">
        <v>101</v>
      </c>
      <c r="J96" t="s">
        <v>108</v>
      </c>
      <c r="K96" t="s">
        <v>109</v>
      </c>
      <c r="L96" t="s">
        <v>257</v>
      </c>
      <c r="M96" t="s">
        <v>19</v>
      </c>
    </row>
    <row r="97" spans="1:13" x14ac:dyDescent="0.3">
      <c r="A97">
        <v>101</v>
      </c>
      <c r="B97" s="2" t="s">
        <v>421</v>
      </c>
      <c r="C97" s="2">
        <f t="shared" si="1"/>
        <v>46607</v>
      </c>
      <c r="D97" t="s">
        <v>259</v>
      </c>
      <c r="E97" t="s">
        <v>70</v>
      </c>
      <c r="F97" s="6">
        <v>2117</v>
      </c>
      <c r="G97" s="1">
        <v>71900</v>
      </c>
      <c r="H97" s="6">
        <v>1294</v>
      </c>
      <c r="I97" t="s">
        <v>45</v>
      </c>
      <c r="J97" t="s">
        <v>260</v>
      </c>
      <c r="K97" t="s">
        <v>47</v>
      </c>
      <c r="L97" t="s">
        <v>261</v>
      </c>
      <c r="M97" t="s">
        <v>41</v>
      </c>
    </row>
    <row r="98" spans="1:13" x14ac:dyDescent="0.3">
      <c r="A98">
        <v>102</v>
      </c>
      <c r="B98" s="2" t="s">
        <v>12</v>
      </c>
      <c r="C98" s="2" t="str">
        <f t="shared" si="1"/>
        <v/>
      </c>
      <c r="D98" t="s">
        <v>262</v>
      </c>
      <c r="E98" t="s">
        <v>263</v>
      </c>
      <c r="F98" s="6">
        <v>2118</v>
      </c>
      <c r="G98" s="1">
        <v>143250</v>
      </c>
      <c r="H98" s="6">
        <v>1295</v>
      </c>
      <c r="I98" t="s">
        <v>30</v>
      </c>
      <c r="J98" t="s">
        <v>264</v>
      </c>
      <c r="K98" t="s">
        <v>47</v>
      </c>
      <c r="L98" t="s">
        <v>265</v>
      </c>
      <c r="M98" t="s">
        <v>34</v>
      </c>
    </row>
    <row r="99" spans="1:13" x14ac:dyDescent="0.3">
      <c r="A99">
        <v>103</v>
      </c>
      <c r="B99" s="2" t="s">
        <v>422</v>
      </c>
      <c r="C99" s="2">
        <f t="shared" si="1"/>
        <v>46649</v>
      </c>
      <c r="D99" t="s">
        <v>267</v>
      </c>
      <c r="E99" t="s">
        <v>240</v>
      </c>
      <c r="F99" s="6">
        <v>2119</v>
      </c>
      <c r="G99" s="1">
        <v>137500</v>
      </c>
      <c r="H99" s="6">
        <v>1296</v>
      </c>
      <c r="I99" t="s">
        <v>23</v>
      </c>
      <c r="J99" t="s">
        <v>268</v>
      </c>
      <c r="K99" t="s">
        <v>269</v>
      </c>
      <c r="L99" t="s">
        <v>270</v>
      </c>
      <c r="M99" t="s">
        <v>19</v>
      </c>
    </row>
    <row r="100" spans="1:13" x14ac:dyDescent="0.3">
      <c r="A100">
        <v>104</v>
      </c>
      <c r="B100" s="2" t="s">
        <v>423</v>
      </c>
      <c r="C100" s="2">
        <f t="shared" si="1"/>
        <v>46655</v>
      </c>
      <c r="D100" t="s">
        <v>272</v>
      </c>
      <c r="E100" t="s">
        <v>100</v>
      </c>
      <c r="F100" s="6">
        <v>2120</v>
      </c>
      <c r="G100" s="1">
        <v>204800</v>
      </c>
      <c r="H100" s="6">
        <v>1297</v>
      </c>
      <c r="I100" t="s">
        <v>15</v>
      </c>
      <c r="J100" t="s">
        <v>274</v>
      </c>
      <c r="K100" t="s">
        <v>275</v>
      </c>
      <c r="L100" t="s">
        <v>276</v>
      </c>
      <c r="M100" t="s">
        <v>41</v>
      </c>
    </row>
    <row r="101" spans="1:13" x14ac:dyDescent="0.3">
      <c r="A101">
        <v>105</v>
      </c>
      <c r="B101" s="2" t="s">
        <v>424</v>
      </c>
      <c r="C101" s="2">
        <f t="shared" si="1"/>
        <v>46661</v>
      </c>
      <c r="D101" t="s">
        <v>278</v>
      </c>
      <c r="E101" t="s">
        <v>150</v>
      </c>
      <c r="F101" s="6">
        <v>2121</v>
      </c>
      <c r="G101" s="1">
        <v>271700</v>
      </c>
      <c r="H101" s="6">
        <v>1298</v>
      </c>
      <c r="I101" t="s">
        <v>59</v>
      </c>
      <c r="J101" t="s">
        <v>279</v>
      </c>
      <c r="K101" t="s">
        <v>280</v>
      </c>
      <c r="L101" t="s">
        <v>281</v>
      </c>
      <c r="M101" t="s">
        <v>19</v>
      </c>
    </row>
  </sheetData>
  <dataConsolidate function="stdDev"/>
  <phoneticPr fontId="1" type="noConversion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e5c1d904df6b081193a3d684bdbb0d76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a6383421f37c03931dd3516cf895043f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A4E2A1-9D6E-4C93-92D7-8E1E4DC563EF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A85AF0-07A3-44BF-8477-9881E83B1C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1C26088-AB28-4BA8-A19A-10CB0EB652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Tb_Porsche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Jussara Amaro</cp:lastModifiedBy>
  <dcterms:created xsi:type="dcterms:W3CDTF">2026-05-08T13:41:58Z</dcterms:created>
  <dcterms:modified xsi:type="dcterms:W3CDTF">2026-10-06T20:24:19Z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